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workbookPr codeName="ThisWorkbook" defaultThemeVersion="124226"/>
  <bookViews>
    <workbookView xWindow="1320" yWindow="345" windowWidth="18465" windowHeight="10680"/>
  </bookViews>
  <sheets>
    <sheet name="Intro" sheetId="8" r:id="rId1"/>
    <sheet name="1) Systems 1 &amp; 2" sheetId="15" r:id="rId2"/>
    <sheet name="2) Systems 3 &amp; 4" sheetId="16" r:id="rId3"/>
    <sheet name="3) Systems 5 - 8" sheetId="14" r:id="rId4"/>
    <sheet name="4) Proposed System" sheetId="18" r:id="rId5"/>
    <sheet name="Resources" sheetId="13" r:id="rId6"/>
  </sheets>
  <calcPr calcId="145621"/>
</workbook>
</file>

<file path=xl/calcChain.xml><?xml version="1.0" encoding="utf-8"?>
<calcChain xmlns="http://schemas.openxmlformats.org/spreadsheetml/2006/main">
  <c r="E29" i="18" l="1"/>
  <c r="D40" i="18"/>
  <c r="C53" i="18"/>
  <c r="E15" i="18"/>
  <c r="C54" i="18" s="1"/>
  <c r="E22" i="18"/>
  <c r="C52" i="18" s="1"/>
  <c r="C84" i="18"/>
  <c r="C77" i="18"/>
  <c r="C82" i="18" s="1"/>
  <c r="C76" i="18"/>
  <c r="C83" i="18" s="1"/>
  <c r="E8" i="18"/>
  <c r="C49" i="18" s="1"/>
  <c r="E42" i="18" l="1"/>
  <c r="C51" i="18" s="1"/>
  <c r="B42" i="18"/>
  <c r="C48" i="18"/>
  <c r="C63" i="15" l="1"/>
  <c r="C61" i="15"/>
  <c r="F76" i="15"/>
  <c r="B75" i="15"/>
  <c r="E71" i="15"/>
  <c r="E70" i="15"/>
  <c r="E69" i="15"/>
  <c r="E68" i="15"/>
  <c r="D40" i="15"/>
  <c r="C25" i="15"/>
  <c r="E18" i="15"/>
  <c r="E27" i="15" s="1"/>
  <c r="E92" i="16"/>
  <c r="E87" i="16"/>
  <c r="C13" i="16"/>
  <c r="C5" i="16"/>
  <c r="B91" i="16"/>
  <c r="E86" i="16"/>
  <c r="E85" i="16"/>
  <c r="F89" i="16" s="1"/>
  <c r="E84" i="16"/>
  <c r="C79" i="16"/>
  <c r="C77" i="16"/>
  <c r="D56" i="16"/>
  <c r="C48" i="16"/>
  <c r="C35" i="16"/>
  <c r="E24" i="16"/>
  <c r="B38" i="16" s="1"/>
  <c r="E86" i="14"/>
  <c r="E85" i="14"/>
  <c r="E84" i="14"/>
  <c r="F89" i="14" s="1"/>
  <c r="E87" i="14"/>
  <c r="E92" i="14"/>
  <c r="F92" i="14" l="1"/>
  <c r="D93" i="14" s="1"/>
  <c r="F92" i="16"/>
  <c r="D93" i="16" s="1"/>
  <c r="E38" i="16"/>
  <c r="E51" i="16" s="1"/>
  <c r="B62" i="16" s="1"/>
  <c r="E73" i="15"/>
  <c r="E32" i="15"/>
  <c r="E56" i="15"/>
  <c r="C62" i="15" s="1"/>
  <c r="B74" i="15"/>
  <c r="B48" i="15"/>
  <c r="F73" i="15"/>
  <c r="B56" i="15"/>
  <c r="E75" i="15"/>
  <c r="D75" i="15" s="1"/>
  <c r="E76" i="15"/>
  <c r="D77" i="15" s="1"/>
  <c r="B46" i="15"/>
  <c r="B50" i="15"/>
  <c r="B27" i="15"/>
  <c r="E91" i="16"/>
  <c r="D91" i="16" s="1"/>
  <c r="B51" i="16"/>
  <c r="E91" i="14"/>
  <c r="D91" i="14" s="1"/>
  <c r="B91" i="14"/>
  <c r="C35" i="14"/>
  <c r="C79" i="14"/>
  <c r="C77" i="14"/>
  <c r="D56" i="14"/>
  <c r="E24" i="14"/>
  <c r="D74" i="15" l="1"/>
  <c r="B38" i="14"/>
  <c r="E38" i="14"/>
  <c r="B72" i="16"/>
  <c r="B64" i="16"/>
  <c r="B90" i="16"/>
  <c r="E89" i="16"/>
  <c r="D90" i="16" s="1"/>
  <c r="E72" i="16"/>
  <c r="C78" i="16" s="1"/>
  <c r="B66" i="16"/>
  <c r="B29" i="8"/>
  <c r="C48" i="14"/>
  <c r="C13" i="14"/>
  <c r="C5" i="14"/>
  <c r="C85" i="15"/>
  <c r="C90" i="15" s="1"/>
  <c r="C84" i="15"/>
  <c r="C92" i="15"/>
  <c r="C5" i="15"/>
  <c r="B2" i="16" l="1"/>
  <c r="B2" i="15"/>
  <c r="B51" i="14"/>
  <c r="E51" i="14"/>
  <c r="E89" i="14" s="1"/>
  <c r="D90" i="14" s="1"/>
  <c r="B2" i="14"/>
  <c r="C91" i="15"/>
  <c r="B90" i="14" l="1"/>
  <c r="E72" i="14"/>
  <c r="C78" i="14" s="1"/>
  <c r="B72" i="14"/>
  <c r="B66" i="14"/>
  <c r="B64" i="14"/>
  <c r="B62" i="14"/>
</calcChain>
</file>

<file path=xl/sharedStrings.xml><?xml version="1.0" encoding="utf-8"?>
<sst xmlns="http://schemas.openxmlformats.org/spreadsheetml/2006/main" count="468" uniqueCount="249">
  <si>
    <t>Pa</t>
  </si>
  <si>
    <t>w.c.</t>
  </si>
  <si>
    <t>OR</t>
  </si>
  <si>
    <t>electric power to fan motor (watts)</t>
  </si>
  <si>
    <t>Supply Fan Total Efficiency</t>
  </si>
  <si>
    <t>Supply Fan Delta Pressure {Pa}</t>
  </si>
  <si>
    <t>Supply Fan Motor Efficiency</t>
  </si>
  <si>
    <t>Total Efficiency</t>
  </si>
  <si>
    <t>CFM</t>
  </si>
  <si>
    <t>Which is your system:</t>
  </si>
  <si>
    <t>1. PTAC</t>
  </si>
  <si>
    <t>Packaged terminal heat pump</t>
  </si>
  <si>
    <t>Packaged terminal air conditioner</t>
  </si>
  <si>
    <t>Constant volume</t>
  </si>
  <si>
    <t>Direct expansion</t>
  </si>
  <si>
    <t>2. PTHP</t>
  </si>
  <si>
    <t>Hot-water fossil fuel boiler</t>
  </si>
  <si>
    <t>Electric heat pump</t>
  </si>
  <si>
    <t>Fossil fuel furnace</t>
  </si>
  <si>
    <t>3. PSZ-AC</t>
  </si>
  <si>
    <t>Packaged rooftop air conditioner</t>
  </si>
  <si>
    <t>4. PSZ-HP</t>
  </si>
  <si>
    <t>Packaged rooftop heat pump</t>
  </si>
  <si>
    <t>5. Packaged VAV with Reheat</t>
  </si>
  <si>
    <t>VAV</t>
  </si>
  <si>
    <t>Packaged rooftop VAV with reheat</t>
  </si>
  <si>
    <t>6. Packaged VAV with PFP Boxes</t>
  </si>
  <si>
    <t>Packaged rooftop VAV with reheat VAV</t>
  </si>
  <si>
    <t>Electric resistance</t>
  </si>
  <si>
    <t>7. VAV with Reheat</t>
  </si>
  <si>
    <t xml:space="preserve">Chilled water </t>
  </si>
  <si>
    <t>8. VAV with PFP Boxes</t>
  </si>
  <si>
    <t>VAV with reheat VAV</t>
  </si>
  <si>
    <t>Building Type</t>
  </si>
  <si>
    <t>System Type</t>
  </si>
  <si>
    <t>Fan Control</t>
  </si>
  <si>
    <t>Cooling Type</t>
  </si>
  <si>
    <t>Heating Type</t>
  </si>
  <si>
    <t>System No.</t>
  </si>
  <si>
    <t>Electric and Other</t>
  </si>
  <si>
    <t>Fossil Fuel, Fossil/Electric Hybrid, and Purchased Heat</t>
  </si>
  <si>
    <t>Residential</t>
  </si>
  <si>
    <t>Nonresidential and 3 Floors or Less and &lt;25,000 ft2</t>
  </si>
  <si>
    <t>System 4—PSZ-HP</t>
  </si>
  <si>
    <t>Nonresidential and 4 or 5 Floors and &lt;25,000 ft2 or 5 Floors or Less and 25,000 ft2 to 150,000 ft2</t>
  </si>
  <si>
    <t>System 5—Packaged VAV with Reheat</t>
  </si>
  <si>
    <t xml:space="preserve">System 3—PSZ-AC </t>
  </si>
  <si>
    <t>System 1—PTAC</t>
  </si>
  <si>
    <t>System 2—PTHP</t>
  </si>
  <si>
    <t xml:space="preserve">System 6—Packaged VAV with PFP Boxes </t>
  </si>
  <si>
    <t xml:space="preserve">Nonresidential and More than 5 Floors or &gt;150,000 ft2 </t>
  </si>
  <si>
    <t xml:space="preserve">System 7—VAV with Reheat </t>
  </si>
  <si>
    <t>System 8—VAV with PFP Boxes</t>
  </si>
  <si>
    <t>baselline system maximum design supply fan airflow rate (cfm)</t>
  </si>
  <si>
    <t>bhp=</t>
  </si>
  <si>
    <t>brake horsepower of baseline fan motor from Table G3.1.2.9</t>
  </si>
  <si>
    <t>the efficiency from Table 10.8 for the next motor size greater than the bhp using the enclosed motor at 1800 rpm</t>
  </si>
  <si>
    <t>A=</t>
  </si>
  <si>
    <t>pressure drop adjustment, calculated according to Section 6.5.3.1.1</t>
  </si>
  <si>
    <t>Credits</t>
  </si>
  <si>
    <t>Deductions</t>
  </si>
  <si>
    <t>–1.0 in. w.c.</t>
  </si>
  <si>
    <t xml:space="preserve">Device </t>
  </si>
  <si>
    <t>Adjustment</t>
  </si>
  <si>
    <t>Fully ducted return and/or exhaust air systems</t>
  </si>
  <si>
    <t>0.5 in. w.c.</t>
  </si>
  <si>
    <t xml:space="preserve">Exhaust filters, scrubbers, or other exhaust treatment </t>
  </si>
  <si>
    <t>The pressure drop of device calculated at fan system design condition</t>
  </si>
  <si>
    <t>Return and/or exhaust airflow control devices</t>
  </si>
  <si>
    <t xml:space="preserve">Particulate Filtration Credit: MERV 9 through 12 </t>
  </si>
  <si>
    <t xml:space="preserve">Particulate Filtration Credit: MERV 13 through 15 </t>
  </si>
  <si>
    <t>0.9 in. w.c.</t>
  </si>
  <si>
    <t>Pressure drop calculated at 2× clean filter pressure drop at fan system design condition</t>
  </si>
  <si>
    <t>Particulate Filtration Credit: MERV 16 and greater and electronically enhanced filters</t>
  </si>
  <si>
    <t xml:space="preserve">Carbon and other gas-phase air cleaners </t>
  </si>
  <si>
    <t>Clean filter pressure drop at fan system design condition</t>
  </si>
  <si>
    <t xml:space="preserve">Heat recovery device </t>
  </si>
  <si>
    <t>Pressure drop of device at fan system design condition</t>
  </si>
  <si>
    <t xml:space="preserve">Evaporative humidifier/cooler in series with another cooling coil </t>
  </si>
  <si>
    <t>Sound Attenuation Section</t>
  </si>
  <si>
    <t>0.15 in. w.c.</t>
  </si>
  <si>
    <t>Fume Hood Exhaust Exception (required if 6.5.3.1.1 Exception [c] is taken)</t>
  </si>
  <si>
    <t>in. w.c.</t>
  </si>
  <si>
    <t>from table G3.1.2.9</t>
  </si>
  <si>
    <t>Minimum Nominal Full-Load Efficiency (%)</t>
  </si>
  <si>
    <t>Motor Horsepower</t>
  </si>
  <si>
    <t xml:space="preserve">Open Motors </t>
  </si>
  <si>
    <t>Enclosed Motors</t>
  </si>
  <si>
    <t xml:space="preserve">Number of Poles ⇒ </t>
  </si>
  <si>
    <t>Synchronous Speed (RPM) ⇒</t>
  </si>
  <si>
    <t>2 8</t>
  </si>
  <si>
    <t>3 8</t>
  </si>
  <si>
    <t>5 8</t>
  </si>
  <si>
    <t>Input either:</t>
  </si>
  <si>
    <t xml:space="preserve">Supply Fan Total Efficiency  </t>
  </si>
  <si>
    <t>Inputs</t>
  </si>
  <si>
    <t>Outputs</t>
  </si>
  <si>
    <t>tab 1) Systems 1 &amp; 2</t>
  </si>
  <si>
    <t>tab 2) Systems 3 &amp; 4</t>
  </si>
  <si>
    <t>tab 3) Systems 5-8</t>
  </si>
  <si>
    <t>According to ASHRAE 90.1 2007 Appendix G, the system fan power equation for Systems 3 &amp; 4 is as follows:</t>
  </si>
  <si>
    <t>Where:</t>
  </si>
  <si>
    <t>In order to calculate these inputs, this spreadsheet will lead you through a series of steps, depending on the system type required for your building type.  The tabs of this spreadsheet are as follows:</t>
  </si>
  <si>
    <t>(current tab)</t>
  </si>
  <si>
    <t>(resources to aid in spreadsheet inputs)</t>
  </si>
  <si>
    <t>Reactive Instructional Text</t>
  </si>
  <si>
    <t xml:space="preserve">Cell Key: </t>
  </si>
  <si>
    <t>(calculations to determine E+ inputs)</t>
  </si>
  <si>
    <t>Links to Resource</t>
  </si>
  <si>
    <t>FAN CALCULATOR SPREADSHEET INTRODUCTION</t>
  </si>
  <si>
    <t xml:space="preserve">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INTEGRATED DESIGN LAB | BOISE | </t>
  </si>
  <si>
    <t>INTRODUCTION:</t>
  </si>
  <si>
    <t>Link back to Intro</t>
  </si>
  <si>
    <t>STEP 1: SELECT YOUR BASELINE SYSTEM:</t>
  </si>
  <si>
    <t>(cells you need to complete)</t>
  </si>
  <si>
    <t>(cells that are automatically generated)</t>
  </si>
  <si>
    <t>(text that directs you to the next step)</t>
  </si>
  <si>
    <t>(links for help through resource tables)</t>
  </si>
  <si>
    <t>SYSTEM 3 &amp; 4 FAN CALCULATIONS</t>
  </si>
  <si>
    <t xml:space="preserve">ΔP = </t>
  </si>
  <si>
    <t>RESULTS</t>
  </si>
  <si>
    <t>Appendix G also gives us the equation for brake horsepower for systems 3 &amp; 4 seen here:</t>
  </si>
  <si>
    <t>substitute findings from Step A into equation</t>
  </si>
  <si>
    <t>Below is a link to the PNNL Technical Support Document: 50% Energy Savings Design Technology Packages for Medium Office Buildings, which contains the equation used in tabs 2) and 3).</t>
  </si>
  <si>
    <t>Document Link Here</t>
  </si>
  <si>
    <t>Reference:</t>
  </si>
  <si>
    <t>Inputs for Eplus:</t>
  </si>
  <si>
    <t>Link to Table 6.5.3.1.1B</t>
  </si>
  <si>
    <t>Link to Table 10.8</t>
  </si>
  <si>
    <t>Link to G3.1.1A &amp; B</t>
  </si>
  <si>
    <t>Supply Fan Delta Pressure (Pa)</t>
  </si>
  <si>
    <t>SYSTEM 5 - 8 FAN CALCULATIONS</t>
  </si>
  <si>
    <t>According to ASHRAE 90.1 2007 Appendix G, the system fan power equation for Systems 5 - 8 is as follows:</t>
  </si>
  <si>
    <t>from G3.1.2.9</t>
  </si>
  <si>
    <t>SYSTEM 1 &amp; 2 FAN CALCULATIONS</t>
  </si>
  <si>
    <t>According to ASHRAE 90.1 2007 Appendix G, the system fan power equation for Systems 1 &amp; 2 is as follows:</t>
  </si>
  <si>
    <t>Pfan=CFMs * 0.3</t>
  </si>
  <si>
    <t>RESOURCES</t>
  </si>
  <si>
    <t>TABLE G3.1.1A Baseline HVAC System Types (ASHRAE 90.1 2007 Appendix G)</t>
  </si>
  <si>
    <t xml:space="preserve">TABLE G3.1.1B Baseline System Descriptions (ASHRAE 90.1 2007 Appendix G) </t>
  </si>
  <si>
    <t>TABLE 10.8 Minimum Nominal Efficiency for General Purpose Design A and Design B Motors (ASHRAE 90.1 2007 Appendix G)</t>
  </si>
  <si>
    <t>TABLE 6.5.3.1.1B Fan Power Limitation Pressure Drop Adjustment (ASHRAE 90.1 2007 Appendix G)</t>
  </si>
  <si>
    <t>Link back to tab 3)</t>
  </si>
  <si>
    <t>Link back to tab 2)</t>
  </si>
  <si>
    <t>Link back to tab 1)</t>
  </si>
  <si>
    <r>
      <t>P</t>
    </r>
    <r>
      <rPr>
        <vertAlign val="subscript"/>
        <sz val="10"/>
        <color theme="0" tint="-0.14999847407452621"/>
        <rFont val="Arial"/>
        <family val="2"/>
      </rPr>
      <t>fan</t>
    </r>
    <r>
      <rPr>
        <sz val="10"/>
        <color theme="0" tint="-0.14999847407452621"/>
        <rFont val="Arial"/>
        <family val="2"/>
      </rPr>
      <t>=</t>
    </r>
  </si>
  <si>
    <r>
      <t>CFM</t>
    </r>
    <r>
      <rPr>
        <vertAlign val="subscript"/>
        <sz val="10"/>
        <color theme="0" tint="-0.14999847407452621"/>
        <rFont val="Arial"/>
        <family val="2"/>
      </rPr>
      <t>S</t>
    </r>
    <r>
      <rPr>
        <sz val="10"/>
        <color theme="0" tint="-0.14999847407452621"/>
        <rFont val="Arial"/>
        <family val="2"/>
      </rPr>
      <t>=</t>
    </r>
  </si>
  <si>
    <r>
      <t>η</t>
    </r>
    <r>
      <rPr>
        <b/>
        <vertAlign val="subscript"/>
        <sz val="10"/>
        <color theme="0" tint="-0.14999847407452621"/>
        <rFont val="Arial"/>
        <family val="2"/>
      </rPr>
      <t xml:space="preserve">tot </t>
    </r>
    <r>
      <rPr>
        <b/>
        <sz val="10"/>
        <color theme="0" tint="-0.14999847407452621"/>
        <rFont val="Arial"/>
        <family val="2"/>
      </rPr>
      <t xml:space="preserve">= </t>
    </r>
  </si>
  <si>
    <r>
      <t>P</t>
    </r>
    <r>
      <rPr>
        <i/>
        <vertAlign val="subscript"/>
        <sz val="10"/>
        <color theme="0" tint="-0.14999847407452621"/>
        <rFont val="Arial"/>
        <family val="2"/>
      </rPr>
      <t>fan</t>
    </r>
    <r>
      <rPr>
        <i/>
        <sz val="10"/>
        <color theme="0" tint="-0.14999847407452621"/>
        <rFont val="Arial"/>
        <family val="2"/>
      </rPr>
      <t>=bhp * 746 / η</t>
    </r>
    <r>
      <rPr>
        <i/>
        <vertAlign val="subscript"/>
        <sz val="10"/>
        <color theme="0" tint="-0.14999847407452621"/>
        <rFont val="Arial"/>
        <family val="2"/>
      </rPr>
      <t>mot</t>
    </r>
  </si>
  <si>
    <r>
      <t>η</t>
    </r>
    <r>
      <rPr>
        <vertAlign val="subscript"/>
        <sz val="10"/>
        <color theme="0" tint="-0.14999847407452621"/>
        <rFont val="Arial"/>
        <family val="2"/>
      </rPr>
      <t>mot</t>
    </r>
    <r>
      <rPr>
        <sz val="10"/>
        <color theme="0" tint="-0.14999847407452621"/>
        <rFont val="Arial"/>
        <family val="2"/>
      </rPr>
      <t>=</t>
    </r>
  </si>
  <si>
    <r>
      <t>P</t>
    </r>
    <r>
      <rPr>
        <i/>
        <vertAlign val="subscript"/>
        <sz val="10"/>
        <color theme="0" tint="-4.9989318521683403E-2"/>
        <rFont val="Arial"/>
        <family val="2"/>
      </rPr>
      <t>fan</t>
    </r>
    <r>
      <rPr>
        <i/>
        <sz val="10"/>
        <color theme="0" tint="-4.9989318521683403E-2"/>
        <rFont val="Arial"/>
        <family val="2"/>
      </rPr>
      <t>=bhp * 746 / η</t>
    </r>
    <r>
      <rPr>
        <i/>
        <vertAlign val="subscript"/>
        <sz val="10"/>
        <color theme="0" tint="-4.9989318521683403E-2"/>
        <rFont val="Arial"/>
        <family val="2"/>
      </rPr>
      <t>mot</t>
    </r>
  </si>
  <si>
    <r>
      <t>P</t>
    </r>
    <r>
      <rPr>
        <vertAlign val="subscript"/>
        <sz val="10"/>
        <color theme="0" tint="-4.9989318521683403E-2"/>
        <rFont val="Arial"/>
        <family val="2"/>
      </rPr>
      <t>fan</t>
    </r>
    <r>
      <rPr>
        <sz val="10"/>
        <color theme="0" tint="-4.9989318521683403E-2"/>
        <rFont val="Arial"/>
        <family val="2"/>
      </rPr>
      <t>=</t>
    </r>
  </si>
  <si>
    <r>
      <t>η</t>
    </r>
    <r>
      <rPr>
        <vertAlign val="subscript"/>
        <sz val="10"/>
        <color theme="0" tint="-4.9989318521683403E-2"/>
        <rFont val="Arial"/>
        <family val="2"/>
      </rPr>
      <t>mot</t>
    </r>
    <r>
      <rPr>
        <sz val="10"/>
        <color theme="0" tint="-4.9989318521683403E-2"/>
        <rFont val="Arial"/>
        <family val="2"/>
      </rPr>
      <t>=</t>
    </r>
  </si>
  <si>
    <r>
      <t>Bhp= CFM</t>
    </r>
    <r>
      <rPr>
        <vertAlign val="subscript"/>
        <sz val="10"/>
        <color theme="0" tint="-4.9989318521683403E-2"/>
        <rFont val="Arial"/>
        <family val="2"/>
      </rPr>
      <t>s</t>
    </r>
    <r>
      <rPr>
        <sz val="10"/>
        <color theme="0" tint="-4.9989318521683403E-2"/>
        <rFont val="Arial"/>
        <family val="2"/>
      </rPr>
      <t>*0.0013+A</t>
    </r>
  </si>
  <si>
    <r>
      <t>CFM</t>
    </r>
    <r>
      <rPr>
        <vertAlign val="subscript"/>
        <sz val="10"/>
        <color theme="0" tint="-4.9989318521683403E-2"/>
        <rFont val="Arial"/>
        <family val="2"/>
      </rPr>
      <t>S</t>
    </r>
    <r>
      <rPr>
        <sz val="10"/>
        <color theme="0" tint="-4.9989318521683403E-2"/>
        <rFont val="Arial"/>
        <family val="2"/>
      </rPr>
      <t>=</t>
    </r>
  </si>
  <si>
    <r>
      <t>Input adjustment "</t>
    </r>
    <r>
      <rPr>
        <b/>
        <sz val="10"/>
        <color theme="0" tint="-4.9989318521683403E-2"/>
        <rFont val="Arial"/>
        <family val="2"/>
      </rPr>
      <t>A</t>
    </r>
    <r>
      <rPr>
        <sz val="10"/>
        <color theme="0" tint="-4.9989318521683403E-2"/>
        <rFont val="Arial"/>
        <family val="2"/>
      </rPr>
      <t>" from Table 6.5.3.1.1B:</t>
    </r>
  </si>
  <si>
    <r>
      <t>η</t>
    </r>
    <r>
      <rPr>
        <b/>
        <vertAlign val="subscript"/>
        <sz val="10"/>
        <color theme="0" tint="-4.9989318521683403E-2"/>
        <rFont val="Arial"/>
        <family val="2"/>
      </rPr>
      <t>mot</t>
    </r>
    <r>
      <rPr>
        <b/>
        <sz val="10"/>
        <color theme="0" tint="-4.9989318521683403E-2"/>
        <rFont val="Arial"/>
        <family val="2"/>
      </rPr>
      <t>=</t>
    </r>
  </si>
  <si>
    <t xml:space="preserve">Intro </t>
  </si>
  <si>
    <t>1) Systems 1 &amp; 2</t>
  </si>
  <si>
    <t xml:space="preserve">2) Systems 3 &amp; 4 </t>
  </si>
  <si>
    <t>3) Systems 5 - 8</t>
  </si>
  <si>
    <t>Resources</t>
  </si>
  <si>
    <t>à</t>
  </si>
  <si>
    <t>If you know which baseline system is suitable for your building, select it below.  For help, see the link below to ASHRAE 90.1 2007 Appendix G tables.</t>
  </si>
  <si>
    <t>STEP A: Finding CFM rate</t>
  </si>
  <si>
    <t>The first step in determining all the inputs for EnergyPlus is a sizing run through EnergyPlus.  Follow the steps outlined in section "Input for Design Calculations and Component Autosizing" in the InputOutputReference.pdf located in the Documentation folder of the EnergyPlus program files.  Baseline inputs for three non-autosized values are shown below:</t>
  </si>
  <si>
    <t>m3/s</t>
  </si>
  <si>
    <t>Once the sizing run has been completed, input below the "Max Air Flow Rate" found in the Fan section of the EnergyPlus output table (it may be entered as a cmf or m3/s flow rate):</t>
  </si>
  <si>
    <t>Using the sizing run max flow rate, we can solve for brake horse power (equation 2), in order to simplify and plug it back into the overarching equation 1. Input the pressure drop adjustment below.  Use 0 to be conservative.</t>
  </si>
  <si>
    <t>Pfan=</t>
  </si>
  <si>
    <t>W</t>
  </si>
  <si>
    <t>In order to find fan power, we can plug in the brake horsepower and motor efficiency findings into equation 1 from Appendix G.</t>
  </si>
  <si>
    <t>Using the calculated brake horsepower above, we can input the motor efficiency based on ASHRAE Table 10.8.  Input efficiency of the next motor size greater in the 1800 RPM Enclosed Motor column, as directed in Appendix G:</t>
  </si>
  <si>
    <t>STEP B: Calculating Brake Horsepower</t>
  </si>
  <si>
    <t>STEP D: Determining Pressure</t>
  </si>
  <si>
    <t>To find pressure, we will solve the fan efficiency equation (equation 3), using the inputs we have found:</t>
  </si>
  <si>
    <t>fan total efficiency</t>
  </si>
  <si>
    <r>
      <rPr>
        <sz val="10"/>
        <color theme="0" tint="-4.9989318521683403E-2"/>
        <rFont val="Calibri"/>
        <family val="2"/>
      </rPr>
      <t>Δ</t>
    </r>
    <r>
      <rPr>
        <i/>
        <sz val="10"/>
        <color theme="0" tint="-4.9989318521683403E-2"/>
        <rFont val="Arial"/>
        <family val="2"/>
      </rPr>
      <t>Pa=</t>
    </r>
  </si>
  <si>
    <t>pressure change in Pascals</t>
  </si>
  <si>
    <r>
      <t>η</t>
    </r>
    <r>
      <rPr>
        <i/>
        <vertAlign val="subscript"/>
        <sz val="10"/>
        <color theme="0" tint="-4.9989318521683403E-2"/>
        <rFont val="Arial"/>
        <family val="2"/>
      </rPr>
      <t>tot</t>
    </r>
    <r>
      <rPr>
        <i/>
        <sz val="10"/>
        <color theme="0" tint="-4.9989318521683403E-2"/>
        <rFont val="Arial"/>
        <family val="2"/>
      </rPr>
      <t xml:space="preserve">= </t>
    </r>
  </si>
  <si>
    <r>
      <t>η</t>
    </r>
    <r>
      <rPr>
        <i/>
        <vertAlign val="subscript"/>
        <sz val="10"/>
        <color theme="0" tint="-4.9989318521683403E-2"/>
        <rFont val="Arial"/>
        <family val="2"/>
      </rPr>
      <t>tot</t>
    </r>
    <r>
      <rPr>
        <i/>
        <sz val="10"/>
        <color theme="0" tint="-4.9989318521683403E-2"/>
        <rFont val="Arial"/>
        <family val="2"/>
      </rPr>
      <t>=(.000472CFM</t>
    </r>
    <r>
      <rPr>
        <i/>
        <vertAlign val="subscript"/>
        <sz val="10"/>
        <color theme="0" tint="-4.9989318521683403E-2"/>
        <rFont val="Arial"/>
        <family val="2"/>
      </rPr>
      <t>s</t>
    </r>
    <r>
      <rPr>
        <i/>
        <sz val="10"/>
        <color theme="0" tint="-4.9989318521683403E-2"/>
        <rFont val="Arial"/>
        <family val="2"/>
      </rPr>
      <t xml:space="preserve"> * </t>
    </r>
    <r>
      <rPr>
        <sz val="10"/>
        <color theme="0" tint="-4.9989318521683403E-2"/>
        <rFont val="Calibri"/>
        <family val="2"/>
      </rPr>
      <t>Δ</t>
    </r>
    <r>
      <rPr>
        <i/>
        <sz val="10"/>
        <color theme="0" tint="-4.9989318521683403E-2"/>
        <rFont val="Arial"/>
        <family val="2"/>
      </rPr>
      <t>Pa) / P</t>
    </r>
    <r>
      <rPr>
        <i/>
        <vertAlign val="subscript"/>
        <sz val="10"/>
        <color theme="0" tint="-4.9989318521683403E-2"/>
        <rFont val="Arial"/>
        <family val="2"/>
      </rPr>
      <t>fan</t>
    </r>
  </si>
  <si>
    <t>STEP E: Determining Energy Plus Inputs</t>
  </si>
  <si>
    <t>fan total efficiency=</t>
  </si>
  <si>
    <r>
      <rPr>
        <b/>
        <sz val="10"/>
        <color theme="0" tint="-4.9989318521683403E-2"/>
        <rFont val="Calibri"/>
        <family val="2"/>
      </rPr>
      <t>Δ</t>
    </r>
    <r>
      <rPr>
        <b/>
        <sz val="10"/>
        <color theme="0" tint="-4.9989318521683403E-2"/>
        <rFont val="Arial"/>
        <family val="2"/>
      </rPr>
      <t>Pa</t>
    </r>
  </si>
  <si>
    <t>QAQC</t>
  </si>
  <si>
    <t>Rated Power Per Max Air Flow Rate [W-min/ft3]</t>
  </si>
  <si>
    <t>Btuh/Btuh</t>
  </si>
  <si>
    <t>psi</t>
  </si>
  <si>
    <t>ft3/min</t>
  </si>
  <si>
    <t>Delta Pressure</t>
  </si>
  <si>
    <t>Max Air Flow Rate</t>
  </si>
  <si>
    <t>Rated Electric Power</t>
  </si>
  <si>
    <r>
      <t>Bhp= CFM</t>
    </r>
    <r>
      <rPr>
        <i/>
        <vertAlign val="subscript"/>
        <sz val="10"/>
        <color theme="0" tint="-4.9989318521683403E-2"/>
        <rFont val="Arial"/>
        <family val="2"/>
      </rPr>
      <t>s</t>
    </r>
    <r>
      <rPr>
        <i/>
        <sz val="10"/>
        <color theme="0" tint="-4.9989318521683403E-2"/>
        <rFont val="Arial"/>
        <family val="2"/>
      </rPr>
      <t>*0.0013+A</t>
    </r>
  </si>
  <si>
    <t>Solve for brake horse power:</t>
  </si>
  <si>
    <t>↓</t>
  </si>
  <si>
    <r>
      <t>η</t>
    </r>
    <r>
      <rPr>
        <b/>
        <i/>
        <vertAlign val="subscript"/>
        <sz val="10"/>
        <color theme="0" tint="-4.9989318521683403E-2"/>
        <rFont val="Arial"/>
        <family val="2"/>
      </rPr>
      <t>tot</t>
    </r>
  </si>
  <si>
    <r>
      <t>Does P</t>
    </r>
    <r>
      <rPr>
        <vertAlign val="subscript"/>
        <sz val="10"/>
        <color theme="0" tint="-4.9989318521683403E-2"/>
        <rFont val="Arial"/>
        <family val="2"/>
      </rPr>
      <t>fan</t>
    </r>
    <r>
      <rPr>
        <sz val="10"/>
        <color theme="0" tint="-4.9989318521683403E-2"/>
        <rFont val="Arial"/>
        <family val="2"/>
      </rPr>
      <t>/CFMs=((.0013+A) * 746 / η</t>
    </r>
    <r>
      <rPr>
        <vertAlign val="subscript"/>
        <sz val="10"/>
        <color theme="0" tint="-4.9989318521683403E-2"/>
        <rFont val="Arial"/>
        <family val="2"/>
      </rPr>
      <t>mot</t>
    </r>
    <r>
      <rPr>
        <sz val="10"/>
        <color theme="0" tint="-4.9989318521683403E-2"/>
        <rFont val="Arial"/>
        <family val="2"/>
      </rPr>
      <t>)?</t>
    </r>
  </si>
  <si>
    <t>Are the Fan Efficiency equation relationships correct?</t>
  </si>
  <si>
    <t>Are the ASHRAE 90.1 Appendix G relationships correct?</t>
  </si>
  <si>
    <r>
      <t>Bhp= CFM</t>
    </r>
    <r>
      <rPr>
        <i/>
        <vertAlign val="subscript"/>
        <sz val="10"/>
        <color theme="0" tint="-4.9989318521683403E-2"/>
        <rFont val="Arial"/>
        <family val="2"/>
      </rPr>
      <t>s</t>
    </r>
    <r>
      <rPr>
        <i/>
        <sz val="10"/>
        <color theme="0" tint="-4.9989318521683403E-2"/>
        <rFont val="Arial"/>
        <family val="2"/>
      </rPr>
      <t>*0.00094+A</t>
    </r>
  </si>
  <si>
    <r>
      <t>Does P</t>
    </r>
    <r>
      <rPr>
        <vertAlign val="subscript"/>
        <sz val="10"/>
        <color theme="0" tint="-4.9989318521683403E-2"/>
        <rFont val="Arial"/>
        <family val="2"/>
      </rPr>
      <t>fan</t>
    </r>
    <r>
      <rPr>
        <sz val="10"/>
        <color theme="0" tint="-4.9989318521683403E-2"/>
        <rFont val="Arial"/>
        <family val="2"/>
      </rPr>
      <t>/CFMs=((.00094+A) * 746 / η</t>
    </r>
    <r>
      <rPr>
        <vertAlign val="subscript"/>
        <sz val="10"/>
        <color theme="0" tint="-4.9989318521683403E-2"/>
        <rFont val="Arial"/>
        <family val="2"/>
      </rPr>
      <t>mot</t>
    </r>
    <r>
      <rPr>
        <sz val="10"/>
        <color theme="0" tint="-4.9989318521683403E-2"/>
        <rFont val="Arial"/>
        <family val="2"/>
      </rPr>
      <t>)?</t>
    </r>
  </si>
  <si>
    <t>STEP A: Solving for Fan Power</t>
  </si>
  <si>
    <t>To find pressure, we will solve the fan efficiency equation (equation 2), using the inputs we have found:</t>
  </si>
  <si>
    <r>
      <t>η</t>
    </r>
    <r>
      <rPr>
        <i/>
        <vertAlign val="subscript"/>
        <sz val="10"/>
        <color theme="0" tint="-0.14999847407452621"/>
        <rFont val="Arial"/>
        <family val="2"/>
      </rPr>
      <t>tot</t>
    </r>
    <r>
      <rPr>
        <i/>
        <sz val="10"/>
        <color theme="0" tint="-0.14999847407452621"/>
        <rFont val="Arial"/>
        <family val="2"/>
      </rPr>
      <t xml:space="preserve">= </t>
    </r>
  </si>
  <si>
    <r>
      <rPr>
        <sz val="10"/>
        <color theme="0" tint="-0.14999847407452621"/>
        <rFont val="Calibri"/>
        <family val="2"/>
      </rPr>
      <t>Δ</t>
    </r>
    <r>
      <rPr>
        <i/>
        <sz val="10"/>
        <color theme="0" tint="-0.14999847407452621"/>
        <rFont val="Arial"/>
        <family val="2"/>
      </rPr>
      <t>Pa=</t>
    </r>
  </si>
  <si>
    <r>
      <t>η</t>
    </r>
    <r>
      <rPr>
        <i/>
        <vertAlign val="subscript"/>
        <sz val="10"/>
        <color theme="0" tint="-0.14999847407452621"/>
        <rFont val="Arial"/>
        <family val="2"/>
      </rPr>
      <t>tot</t>
    </r>
    <r>
      <rPr>
        <i/>
        <sz val="10"/>
        <color theme="0" tint="-0.14999847407452621"/>
        <rFont val="Arial"/>
        <family val="2"/>
      </rPr>
      <t>=(.000472CFM</t>
    </r>
    <r>
      <rPr>
        <i/>
        <vertAlign val="subscript"/>
        <sz val="10"/>
        <color theme="0" tint="-0.14999847407452621"/>
        <rFont val="Arial"/>
        <family val="2"/>
      </rPr>
      <t>s</t>
    </r>
    <r>
      <rPr>
        <i/>
        <sz val="10"/>
        <color theme="0" tint="-0.14999847407452621"/>
        <rFont val="Arial"/>
        <family val="2"/>
      </rPr>
      <t xml:space="preserve"> * </t>
    </r>
    <r>
      <rPr>
        <sz val="10"/>
        <color theme="0" tint="-0.14999847407452621"/>
        <rFont val="Calibri"/>
        <family val="2"/>
      </rPr>
      <t>Δ</t>
    </r>
    <r>
      <rPr>
        <i/>
        <sz val="10"/>
        <color theme="0" tint="-0.14999847407452621"/>
        <rFont val="Arial"/>
        <family val="2"/>
      </rPr>
      <t>Pa) / P</t>
    </r>
    <r>
      <rPr>
        <i/>
        <vertAlign val="subscript"/>
        <sz val="10"/>
        <color theme="0" tint="-0.14999847407452621"/>
        <rFont val="Arial"/>
        <family val="2"/>
      </rPr>
      <t>fan</t>
    </r>
  </si>
  <si>
    <r>
      <rPr>
        <b/>
        <sz val="10"/>
        <color theme="0" tint="-0.14999847407452621"/>
        <rFont val="Calibri"/>
        <family val="2"/>
      </rPr>
      <t>Δ</t>
    </r>
    <r>
      <rPr>
        <b/>
        <sz val="10"/>
        <color theme="0" tint="-0.14999847407452621"/>
        <rFont val="Arial"/>
        <family val="2"/>
      </rPr>
      <t>Pa</t>
    </r>
  </si>
  <si>
    <r>
      <t>η</t>
    </r>
    <r>
      <rPr>
        <b/>
        <i/>
        <vertAlign val="subscript"/>
        <sz val="10"/>
        <color theme="0" tint="-0.14999847407452621"/>
        <rFont val="Arial"/>
        <family val="2"/>
      </rPr>
      <t>tot</t>
    </r>
  </si>
  <si>
    <r>
      <t>Does P</t>
    </r>
    <r>
      <rPr>
        <vertAlign val="subscript"/>
        <sz val="10"/>
        <color theme="0" tint="-0.14999847407452621"/>
        <rFont val="Arial"/>
        <family val="2"/>
      </rPr>
      <t>fan</t>
    </r>
    <r>
      <rPr>
        <sz val="10"/>
        <color theme="0" tint="-0.14999847407452621"/>
        <rFont val="Arial"/>
        <family val="2"/>
      </rPr>
      <t>=0.3*CFMs?</t>
    </r>
  </si>
  <si>
    <t>STEP C: Determining Motor Efficiency and Calculating Fan Power</t>
  </si>
  <si>
    <t>ηmot=</t>
  </si>
  <si>
    <t>STEP D: Finding Motor Efficiency</t>
  </si>
  <si>
    <t>hp</t>
  </si>
  <si>
    <t>Cooling Supply Air Flow Rate {m3/s}</t>
  </si>
  <si>
    <t>Heating Supply Air Flow Rate {m3/s}</t>
  </si>
  <si>
    <t>Minimum Outdoor Air Flow Rate</t>
  </si>
  <si>
    <t>Input the airflow of the fan coil.  This is typically in CFM but may be in m3/s, you can input either unit:</t>
  </si>
  <si>
    <t>PROPOSED FAN CALCULATIONS</t>
  </si>
  <si>
    <t>Fan power will likely be found on spec sheets.  It may be input in either watts or horsepower below:</t>
  </si>
  <si>
    <t>Next, input the pressure drop or ESP.  It is likely in inches water column (w.c.) but may be in Pascals.  Either can be input below:</t>
  </si>
  <si>
    <r>
      <t>Input the minium outside air (Min OSA) of the fan coil.  This is typically in CFM but may be in m</t>
    </r>
    <r>
      <rPr>
        <vertAlign val="superscript"/>
        <sz val="10"/>
        <color theme="0" tint="-0.14999847407452621"/>
        <rFont val="Arial"/>
        <family val="2"/>
      </rPr>
      <t>3</t>
    </r>
    <r>
      <rPr>
        <sz val="10"/>
        <color theme="0" tint="-0.14999847407452621"/>
        <rFont val="Arial"/>
        <family val="2"/>
      </rPr>
      <t>/s, you can input either unit:</t>
    </r>
  </si>
  <si>
    <t>STEP A: Input Airflow</t>
  </si>
  <si>
    <t>STEP B: Input Minimum Outside Air Flow</t>
  </si>
  <si>
    <t>STEP C: Input Pressure Drop</t>
  </si>
  <si>
    <t>STEP D: Input Fan Power</t>
  </si>
  <si>
    <r>
      <t>η</t>
    </r>
    <r>
      <rPr>
        <b/>
        <vertAlign val="subscript"/>
        <sz val="10"/>
        <color theme="0" tint="-0.14999847407452621"/>
        <rFont val="Arial"/>
        <family val="2"/>
      </rPr>
      <t>tot</t>
    </r>
    <r>
      <rPr>
        <i/>
        <sz val="10"/>
        <color theme="0" tint="-0.14999847407452621"/>
        <rFont val="Arial"/>
        <family val="2"/>
      </rPr>
      <t/>
    </r>
  </si>
  <si>
    <r>
      <t>m</t>
    </r>
    <r>
      <rPr>
        <b/>
        <vertAlign val="superscript"/>
        <sz val="10"/>
        <color theme="0" tint="-4.9989318521683403E-2"/>
        <rFont val="Arial"/>
        <family val="2"/>
      </rPr>
      <t>3</t>
    </r>
    <r>
      <rPr>
        <b/>
        <sz val="10"/>
        <color theme="0" tint="-4.9989318521683403E-2"/>
        <rFont val="Arial"/>
        <family val="2"/>
      </rPr>
      <t>/s</t>
    </r>
  </si>
  <si>
    <t>…</t>
  </si>
  <si>
    <t>4) Proposed System</t>
  </si>
  <si>
    <t>This spreadsheet was created in order to aid with determining the fan inputs into EnergyPlus via equations from ASHRARE 90.1 Appendix G (for baseline systems) and fan specifications (for proposed systems).  Three key inputs are needed in EnergyPlus:</t>
  </si>
  <si>
    <t>INTRODUCTION</t>
  </si>
  <si>
    <t>Once a system has been designed, we can draw from the specifications to create proposed system model inputs.  Find the Fan Coil specifications on the mechanical sheet or the specification sheets of that particular piece of equipment in order to input the following.  This spreadsheet's resulting values will be those to plug into and EnergyPlus idf in the system HVAC template.</t>
  </si>
  <si>
    <t>To find total efficiency, we will solve the fan efficiency equation (equation 1), using the inputs above:</t>
  </si>
  <si>
    <t>Colored cells signify inputs, outputs, links, and instructive text.  See key below.</t>
  </si>
  <si>
    <t>baseline system maximum design supply fan airflow rate (cfm)</t>
  </si>
  <si>
    <t>Because the watt power usage is the focus of the energy model, it really doesn't matter the input for total efficiency, as long as the ratio is correct.  Therefore, we will use the default total efficiency of 70%.  Using this, we have all the inputs to EnergyPlus:</t>
  </si>
  <si>
    <t>Now that we know the airflow rate, we can use equation 1 above to solve for Pfan:</t>
  </si>
  <si>
    <t>Motor efficiency can be input based on ASHRAE Table 10.8.  We need a brake horsepower in which to determine the efficiency from this table.  Because systems 1 and 2 do not have the duct work and associated additional static pressure power draw of the other systems, we will assume the fan power is the same as the brake power.  Use the fan power (converted to horsepower) and Table 10.8 to determine the input efficiency of the next motor size greater in the 1800 RPM Enclosed Motor column, as directed in Appendix G:</t>
  </si>
  <si>
    <t>Once you have run a baseline simulation, plug in the following outputs from the fan section of the output table to check their relationships are correct:</t>
  </si>
  <si>
    <t>Motor efficiency will also be found on spec sheets.  Input as a percentage:</t>
  </si>
  <si>
    <t>ηmot</t>
  </si>
  <si>
    <t>STEP E: Input Motor Efficiency</t>
  </si>
  <si>
    <t>STEP F: Calculating Total Efficiency</t>
  </si>
  <si>
    <r>
      <t>Bhp= CFM</t>
    </r>
    <r>
      <rPr>
        <i/>
        <vertAlign val="subscript"/>
        <sz val="10"/>
        <color theme="0" tint="-0.14999847407452621"/>
        <rFont val="Arial"/>
        <family val="2"/>
      </rPr>
      <t>s</t>
    </r>
    <r>
      <rPr>
        <i/>
        <sz val="10"/>
        <color theme="0" tint="-0.14999847407452621"/>
        <rFont val="Arial"/>
        <family val="2"/>
      </rPr>
      <t>*0.00094+A</t>
    </r>
  </si>
  <si>
    <t>Because the watt power useage is the focus of the energy model, it really doesn't matter the input for total efficiency, as long as the ratio between the efficiency and delta pressure are correct to give us the correct power usage.  Therefore, we will use the default total efficiency of 70% to find the resulting delta pressure:</t>
  </si>
  <si>
    <t>Proposed System Inputs for EnergyPlus:</t>
  </si>
  <si>
    <t>System 1&amp;2 Baseline Inputs for Energyplus:</t>
  </si>
  <si>
    <t>System 3 &amp; 4 Baseline Inputs for EnergyPlus:</t>
  </si>
  <si>
    <t>System 5-8 Baseline Inputs for EnergyPlus: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</si>
</sst>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
  </numFmts>
  <fonts count="65" x14ac:knownFonts="1">
    <font>
      <sz val="11"/>
      <color theme="1"/>
      <name val="Calibri"/>
      <family val="2"/>
      <scheme val="minor"/>
    </font>
    <font>
      <sz val="11"/>
      <color theme="1"/>
      <name val="Calibri"/>
      <family val="2"/>
      <scheme val="minor"/>
    </font>
    <font>
      <sz val="11"/>
      <color theme="0"/>
      <name val="Calibri"/>
      <family val="2"/>
      <scheme val="minor"/>
    </font>
    <font>
      <b/>
      <sz val="13"/>
      <color theme="1"/>
      <name val="Calibri"/>
      <family val="2"/>
      <scheme val="minor"/>
    </font>
    <font>
      <sz val="11"/>
      <name val="Calibri"/>
      <family val="2"/>
      <scheme val="minor"/>
    </font>
    <font>
      <sz val="18"/>
      <color theme="0"/>
      <name val="Arial Rounded MT Bold"/>
      <family val="2"/>
    </font>
    <font>
      <sz val="11"/>
      <color theme="1"/>
      <name val="Arial Rounded MT Bold"/>
      <family val="2"/>
    </font>
    <font>
      <b/>
      <sz val="11"/>
      <color theme="1"/>
      <name val="Arial Rounded MT Bold"/>
      <family val="2"/>
    </font>
    <font>
      <sz val="11"/>
      <name val="Arial Rounded MT Bold"/>
      <family val="2"/>
    </font>
    <font>
      <sz val="10"/>
      <color theme="1"/>
      <name val="Arial Rounded MT Bold"/>
      <family val="2"/>
    </font>
    <font>
      <sz val="10"/>
      <color theme="1"/>
      <name val="Arial"/>
      <family val="2"/>
    </font>
    <font>
      <sz val="11"/>
      <color theme="1"/>
      <name val="Arial"/>
      <family val="2"/>
    </font>
    <font>
      <b/>
      <sz val="11"/>
      <name val="Arial"/>
      <family val="2"/>
    </font>
    <font>
      <b/>
      <sz val="13"/>
      <color rgb="FFFF0000"/>
      <name val="Arial"/>
      <family val="2"/>
    </font>
    <font>
      <b/>
      <sz val="12"/>
      <name val="Arial Rounded MT Bold"/>
      <family val="2"/>
    </font>
    <font>
      <sz val="12"/>
      <name val="Arial Rounded MT Bold"/>
      <family val="2"/>
    </font>
    <font>
      <b/>
      <sz val="10"/>
      <color theme="0"/>
      <name val="Arial"/>
      <family val="2"/>
    </font>
    <font>
      <b/>
      <sz val="10"/>
      <color rgb="FFFF0000"/>
      <name val="Arial"/>
      <family val="2"/>
    </font>
    <font>
      <b/>
      <sz val="10"/>
      <name val="Arial"/>
      <family val="2"/>
    </font>
    <font>
      <b/>
      <sz val="10"/>
      <color theme="1"/>
      <name val="Arial"/>
      <family val="2"/>
    </font>
    <font>
      <sz val="30"/>
      <color theme="0" tint="-4.9989318521683403E-2"/>
      <name val="Arial"/>
      <family val="2"/>
    </font>
    <font>
      <i/>
      <sz val="10"/>
      <color theme="1"/>
      <name val="Arial"/>
      <family val="2"/>
    </font>
    <font>
      <b/>
      <u/>
      <sz val="10"/>
      <color rgb="FF1264BE"/>
      <name val="Arial"/>
      <family val="2"/>
    </font>
    <font>
      <b/>
      <sz val="11"/>
      <color rgb="FF1264BE"/>
      <name val="Arial"/>
      <family val="2"/>
    </font>
    <font>
      <sz val="11"/>
      <name val="Arial"/>
      <family val="2"/>
    </font>
    <font>
      <sz val="10"/>
      <name val="Arial"/>
      <family val="2"/>
    </font>
    <font>
      <u/>
      <sz val="11"/>
      <color theme="10"/>
      <name val="Calibri"/>
      <family val="2"/>
      <scheme val="minor"/>
    </font>
    <font>
      <b/>
      <u/>
      <sz val="11"/>
      <color rgb="FF1264BE"/>
      <name val="Arial"/>
      <family val="2"/>
    </font>
    <font>
      <b/>
      <sz val="11"/>
      <color rgb="FFFF0000"/>
      <name val="Arial Rounded MT Bold"/>
      <family val="2"/>
    </font>
    <font>
      <sz val="11"/>
      <color theme="0" tint="-4.9989318521683403E-2"/>
      <name val="Arial"/>
      <family val="2"/>
    </font>
    <font>
      <sz val="11"/>
      <color theme="0" tint="-4.9989318521683403E-2"/>
      <name val="Calibri"/>
      <family val="2"/>
      <scheme val="minor"/>
    </font>
    <font>
      <b/>
      <sz val="11"/>
      <color theme="0" tint="-4.9989318521683403E-2"/>
      <name val="Arial Rounded MT Bold"/>
      <family val="2"/>
    </font>
    <font>
      <sz val="11"/>
      <color theme="0" tint="-0.14999847407452621"/>
      <name val="Arial"/>
      <family val="2"/>
    </font>
    <font>
      <sz val="11"/>
      <color theme="0" tint="-0.14999847407452621"/>
      <name val="Calibri"/>
      <family val="2"/>
      <scheme val="minor"/>
    </font>
    <font>
      <b/>
      <sz val="11"/>
      <color theme="0" tint="-0.14999847407452621"/>
      <name val="Arial Rounded MT Bold"/>
      <family val="2"/>
    </font>
    <font>
      <sz val="10"/>
      <color theme="0" tint="-0.14999847407452621"/>
      <name val="Arial"/>
      <family val="2"/>
    </font>
    <font>
      <i/>
      <sz val="10"/>
      <color theme="0" tint="-0.14999847407452621"/>
      <name val="Arial"/>
      <family val="2"/>
    </font>
    <font>
      <vertAlign val="subscript"/>
      <sz val="10"/>
      <color theme="0" tint="-0.14999847407452621"/>
      <name val="Arial"/>
      <family val="2"/>
    </font>
    <font>
      <sz val="10"/>
      <color theme="0" tint="-0.14999847407452621"/>
      <name val="Calibri"/>
      <family val="2"/>
      <scheme val="minor"/>
    </font>
    <font>
      <b/>
      <sz val="10"/>
      <color theme="0" tint="-0.14999847407452621"/>
      <name val="Arial"/>
      <family val="2"/>
    </font>
    <font>
      <b/>
      <vertAlign val="subscript"/>
      <sz val="10"/>
      <color theme="0" tint="-0.14999847407452621"/>
      <name val="Arial"/>
      <family val="2"/>
    </font>
    <font>
      <i/>
      <vertAlign val="subscript"/>
      <sz val="10"/>
      <color theme="0" tint="-0.14999847407452621"/>
      <name val="Arial"/>
      <family val="2"/>
    </font>
    <font>
      <b/>
      <i/>
      <vertAlign val="subscript"/>
      <sz val="10"/>
      <color theme="0" tint="-0.14999847407452621"/>
      <name val="Arial"/>
      <family val="2"/>
    </font>
    <font>
      <sz val="10"/>
      <color theme="0" tint="-4.9989318521683403E-2"/>
      <name val="Arial"/>
      <family val="2"/>
    </font>
    <font>
      <i/>
      <sz val="10"/>
      <color theme="0" tint="-4.9989318521683403E-2"/>
      <name val="Arial"/>
      <family val="2"/>
    </font>
    <font>
      <i/>
      <vertAlign val="subscript"/>
      <sz val="10"/>
      <color theme="0" tint="-4.9989318521683403E-2"/>
      <name val="Arial"/>
      <family val="2"/>
    </font>
    <font>
      <vertAlign val="subscript"/>
      <sz val="10"/>
      <color theme="0" tint="-4.9989318521683403E-2"/>
      <name val="Arial"/>
      <family val="2"/>
    </font>
    <font>
      <sz val="10"/>
      <color theme="0" tint="-4.9989318521683403E-2"/>
      <name val="Calibri"/>
      <family val="2"/>
      <scheme val="minor"/>
    </font>
    <font>
      <b/>
      <sz val="10"/>
      <color theme="0" tint="-4.9989318521683403E-2"/>
      <name val="Arial"/>
      <family val="2"/>
    </font>
    <font>
      <b/>
      <u/>
      <sz val="10"/>
      <color theme="0" tint="-4.9989318521683403E-2"/>
      <name val="Arial"/>
      <family val="2"/>
    </font>
    <font>
      <b/>
      <vertAlign val="subscript"/>
      <sz val="10"/>
      <color theme="0" tint="-4.9989318521683403E-2"/>
      <name val="Arial"/>
      <family val="2"/>
    </font>
    <font>
      <b/>
      <i/>
      <sz val="10"/>
      <color theme="0" tint="-4.9989318521683403E-2"/>
      <name val="Arial"/>
      <family val="2"/>
    </font>
    <font>
      <b/>
      <i/>
      <vertAlign val="subscript"/>
      <sz val="10"/>
      <color theme="0" tint="-4.9989318521683403E-2"/>
      <name val="Arial"/>
      <family val="2"/>
    </font>
    <font>
      <b/>
      <sz val="10"/>
      <color theme="0" tint="-4.9989318521683403E-2"/>
      <name val="Calibri"/>
      <family val="2"/>
      <scheme val="minor"/>
    </font>
    <font>
      <sz val="10"/>
      <color theme="1"/>
      <name val="Wingdings"/>
      <charset val="2"/>
    </font>
    <font>
      <sz val="10"/>
      <name val="Calibri"/>
      <family val="2"/>
      <scheme val="minor"/>
    </font>
    <font>
      <sz val="10"/>
      <color theme="0"/>
      <name val="Arial"/>
      <family val="2"/>
    </font>
    <font>
      <sz val="10"/>
      <color theme="0" tint="-4.9989318521683403E-2"/>
      <name val="Calibri"/>
      <family val="2"/>
    </font>
    <font>
      <b/>
      <sz val="10"/>
      <color theme="0" tint="-4.9989318521683403E-2"/>
      <name val="Calibri"/>
      <family val="2"/>
    </font>
    <font>
      <i/>
      <sz val="10"/>
      <name val="Arial"/>
      <family val="2"/>
    </font>
    <font>
      <b/>
      <sz val="10"/>
      <name val="Calibri"/>
      <family val="2"/>
      <scheme val="minor"/>
    </font>
    <font>
      <sz val="10"/>
      <color theme="0" tint="-0.14999847407452621"/>
      <name val="Calibri"/>
      <family val="2"/>
    </font>
    <font>
      <b/>
      <sz val="10"/>
      <color theme="0" tint="-0.14999847407452621"/>
      <name val="Calibri"/>
      <family val="2"/>
    </font>
    <font>
      <vertAlign val="superscript"/>
      <sz val="10"/>
      <color theme="0" tint="-0.14999847407452621"/>
      <name val="Arial"/>
      <family val="2"/>
    </font>
    <font>
      <b/>
      <vertAlign val="superscript"/>
      <sz val="10"/>
      <color theme="0" tint="-4.9989318521683403E-2"/>
      <name val="Arial"/>
      <family val="2"/>
    </font>
  </fonts>
  <fills count="10">
    <fill>
      <patternFill patternType="none"/>
    </fill>
    <fill>
      <patternFill patternType="gray125"/>
    </fill>
    <fill>
      <patternFill patternType="solid">
        <fgColor rgb="FFF9F9B7"/>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CA6652"/>
        <bgColor indexed="64"/>
      </patternFill>
    </fill>
    <fill>
      <patternFill patternType="solid">
        <fgColor rgb="FF7D944A"/>
        <bgColor indexed="64"/>
      </patternFill>
    </fill>
  </fills>
  <borders count="32">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medium">
        <color theme="2" tint="-0.249977111117893"/>
      </bottom>
      <diagonal/>
    </border>
    <border>
      <left/>
      <right/>
      <top style="medium">
        <color theme="2" tint="-0.249977111117893"/>
      </top>
      <bottom/>
      <diagonal/>
    </border>
    <border>
      <left style="medium">
        <color auto="1"/>
      </left>
      <right style="thin">
        <color indexed="64"/>
      </right>
      <top/>
      <bottom/>
      <diagonal/>
    </border>
    <border>
      <left/>
      <right style="medium">
        <color auto="1"/>
      </right>
      <top style="thin">
        <color indexed="64"/>
      </top>
      <bottom/>
      <diagonal/>
    </border>
    <border>
      <left style="thin">
        <color indexed="64"/>
      </left>
      <right/>
      <top/>
      <bottom style="medium">
        <color auto="1"/>
      </bottom>
      <diagonal/>
    </border>
    <border>
      <left/>
      <right style="thin">
        <color indexed="64"/>
      </right>
      <top/>
      <bottom style="medium">
        <color auto="1"/>
      </bottom>
      <diagonal/>
    </border>
    <border>
      <left style="mediumDashed">
        <color theme="1" tint="0.34998626667073579"/>
      </left>
      <right/>
      <top style="mediumDashed">
        <color theme="1" tint="0.34998626667073579"/>
      </top>
      <bottom/>
      <diagonal/>
    </border>
    <border>
      <left/>
      <right/>
      <top style="mediumDashed">
        <color theme="1" tint="0.34998626667073579"/>
      </top>
      <bottom/>
      <diagonal/>
    </border>
    <border>
      <left/>
      <right style="mediumDashed">
        <color theme="1" tint="0.34998626667073579"/>
      </right>
      <top style="mediumDashed">
        <color theme="1" tint="0.34998626667073579"/>
      </top>
      <bottom/>
      <diagonal/>
    </border>
    <border>
      <left style="mediumDashed">
        <color theme="1" tint="0.34998626667073579"/>
      </left>
      <right/>
      <top/>
      <bottom/>
      <diagonal/>
    </border>
    <border>
      <left/>
      <right style="mediumDashed">
        <color theme="1" tint="0.34998626667073579"/>
      </right>
      <top/>
      <bottom/>
      <diagonal/>
    </border>
    <border>
      <left style="mediumDashed">
        <color theme="1" tint="0.34998626667073579"/>
      </left>
      <right/>
      <top/>
      <bottom style="mediumDashed">
        <color theme="1" tint="0.34998626667073579"/>
      </bottom>
      <diagonal/>
    </border>
    <border>
      <left/>
      <right/>
      <top/>
      <bottom style="mediumDashed">
        <color theme="1" tint="0.34998626667073579"/>
      </bottom>
      <diagonal/>
    </border>
    <border>
      <left/>
      <right style="mediumDashed">
        <color theme="1" tint="0.34998626667073579"/>
      </right>
      <top/>
      <bottom style="mediumDashed">
        <color theme="1" tint="0.34998626667073579"/>
      </bottom>
      <diagonal/>
    </border>
  </borders>
  <cellStyleXfs count="3">
    <xf numFmtId="0" fontId="0" fillId="0" borderId="0"/>
    <xf numFmtId="9" fontId="1" fillId="0" borderId="0" applyFont="0" applyFill="0" applyBorder="0" applyAlignment="0" applyProtection="0"/>
    <xf numFmtId="0" fontId="26" fillId="0" borderId="0" applyNumberFormat="0" applyFill="0" applyBorder="0" applyAlignment="0" applyProtection="0"/>
  </cellStyleXfs>
  <cellXfs count="232">
    <xf numFmtId="0" fontId="0" fillId="0" borderId="0" xfId="0"/>
    <xf numFmtId="2" fontId="4" fillId="0" borderId="0" xfId="0" applyNumberFormat="1" applyFont="1" applyFill="1" applyBorder="1"/>
    <xf numFmtId="0" fontId="0" fillId="0" borderId="0" xfId="0" applyFill="1"/>
    <xf numFmtId="0" fontId="0" fillId="4" borderId="0" xfId="0" applyFill="1"/>
    <xf numFmtId="0" fontId="2" fillId="0" borderId="0" xfId="0" applyFont="1" applyFill="1" applyBorder="1"/>
    <xf numFmtId="0" fontId="4" fillId="0" borderId="0" xfId="0" applyFont="1" applyAlignment="1">
      <alignment wrapText="1"/>
    </xf>
    <xf numFmtId="0" fontId="2" fillId="0" borderId="0" xfId="0" applyFont="1" applyBorder="1"/>
    <xf numFmtId="0" fontId="4" fillId="0" borderId="0" xfId="0" applyFont="1"/>
    <xf numFmtId="0" fontId="0" fillId="7" borderId="0" xfId="0" applyFill="1"/>
    <xf numFmtId="0" fontId="6" fillId="0" borderId="0" xfId="0" applyFont="1" applyBorder="1"/>
    <xf numFmtId="0" fontId="8" fillId="0" borderId="0" xfId="0" applyFont="1" applyBorder="1"/>
    <xf numFmtId="0" fontId="17" fillId="0" borderId="0" xfId="0" applyFont="1" applyFill="1" applyBorder="1" applyAlignment="1">
      <alignment horizontal="center"/>
    </xf>
    <xf numFmtId="0" fontId="10" fillId="0" borderId="0" xfId="0" applyFont="1" applyBorder="1"/>
    <xf numFmtId="2" fontId="18" fillId="0" borderId="0" xfId="0" applyNumberFormat="1" applyFont="1" applyFill="1" applyBorder="1"/>
    <xf numFmtId="0" fontId="9" fillId="0" borderId="0" xfId="0" applyFont="1" applyBorder="1"/>
    <xf numFmtId="0" fontId="5" fillId="0" borderId="18" xfId="0" applyFont="1" applyFill="1" applyBorder="1" applyAlignment="1">
      <alignment vertical="center"/>
    </xf>
    <xf numFmtId="0" fontId="15" fillId="0" borderId="19" xfId="0" applyFont="1" applyFill="1" applyBorder="1" applyAlignment="1"/>
    <xf numFmtId="0" fontId="10" fillId="0" borderId="0" xfId="0" applyFont="1" applyFill="1" applyBorder="1" applyAlignment="1">
      <alignment vertical="top" wrapText="1"/>
    </xf>
    <xf numFmtId="0" fontId="10" fillId="0" borderId="0" xfId="0" applyFont="1" applyFill="1" applyBorder="1"/>
    <xf numFmtId="0" fontId="9" fillId="0" borderId="0" xfId="0" applyFont="1" applyFill="1" applyBorder="1"/>
    <xf numFmtId="0" fontId="15" fillId="0" borderId="0" xfId="0" applyFont="1" applyFill="1" applyBorder="1" applyAlignment="1"/>
    <xf numFmtId="0" fontId="6" fillId="0" borderId="0" xfId="0" applyFont="1" applyFill="1" applyBorder="1"/>
    <xf numFmtId="0" fontId="16" fillId="9" borderId="0" xfId="0" applyFont="1" applyFill="1" applyBorder="1" applyAlignment="1">
      <alignment horizontal="center"/>
    </xf>
    <xf numFmtId="0" fontId="22" fillId="3" borderId="0" xfId="0" applyFont="1" applyFill="1" applyBorder="1" applyAlignment="1">
      <alignment horizontal="center"/>
    </xf>
    <xf numFmtId="0" fontId="11" fillId="0" borderId="0" xfId="0" applyFont="1"/>
    <xf numFmtId="0" fontId="23" fillId="3" borderId="0" xfId="0" applyFont="1" applyFill="1" applyBorder="1" applyAlignment="1">
      <alignment horizontal="center" vertical="top" wrapText="1"/>
    </xf>
    <xf numFmtId="0" fontId="12" fillId="0" borderId="16" xfId="0" applyFont="1" applyBorder="1" applyAlignment="1">
      <alignment wrapText="1"/>
    </xf>
    <xf numFmtId="0" fontId="12" fillId="0" borderId="9" xfId="0" applyFont="1" applyBorder="1" applyAlignment="1">
      <alignment wrapText="1"/>
    </xf>
    <xf numFmtId="0" fontId="12" fillId="0" borderId="17" xfId="0" applyFont="1" applyBorder="1" applyAlignment="1">
      <alignment wrapText="1"/>
    </xf>
    <xf numFmtId="0" fontId="24" fillId="0" borderId="3" xfId="0" applyFont="1" applyBorder="1" applyAlignment="1">
      <alignment vertical="top" wrapText="1"/>
    </xf>
    <xf numFmtId="0" fontId="24" fillId="0" borderId="0" xfId="0" applyFont="1" applyBorder="1" applyAlignment="1">
      <alignment vertical="top" wrapText="1"/>
    </xf>
    <xf numFmtId="0" fontId="24" fillId="0" borderId="4" xfId="0" applyFont="1" applyBorder="1" applyAlignment="1">
      <alignment vertical="top" wrapText="1"/>
    </xf>
    <xf numFmtId="0" fontId="24" fillId="0" borderId="5" xfId="0" applyFont="1" applyBorder="1" applyAlignment="1">
      <alignment vertical="top" wrapText="1"/>
    </xf>
    <xf numFmtId="0" fontId="24" fillId="0" borderId="8" xfId="0" applyFont="1" applyBorder="1" applyAlignment="1">
      <alignment vertical="top" wrapText="1"/>
    </xf>
    <xf numFmtId="0" fontId="24" fillId="0" borderId="6" xfId="0" applyFont="1" applyBorder="1" applyAlignment="1">
      <alignment vertical="top" wrapText="1"/>
    </xf>
    <xf numFmtId="0" fontId="12" fillId="0" borderId="16" xfId="0" applyFont="1" applyBorder="1" applyAlignment="1">
      <alignment horizontal="left" vertical="top" wrapText="1"/>
    </xf>
    <xf numFmtId="0" fontId="12" fillId="0" borderId="9" xfId="0" applyFont="1" applyBorder="1" applyAlignment="1">
      <alignment horizontal="left" vertical="top" wrapText="1"/>
    </xf>
    <xf numFmtId="0" fontId="12" fillId="0" borderId="17" xfId="0" applyFont="1" applyBorder="1" applyAlignment="1">
      <alignment horizontal="left" vertical="top" wrapText="1"/>
    </xf>
    <xf numFmtId="0" fontId="24" fillId="0" borderId="3" xfId="0" applyFont="1" applyBorder="1" applyAlignment="1">
      <alignment horizontal="left" vertical="top" wrapText="1"/>
    </xf>
    <xf numFmtId="0" fontId="24" fillId="0" borderId="0" xfId="0" applyFont="1" applyBorder="1" applyAlignment="1">
      <alignment horizontal="left" vertical="top" wrapText="1"/>
    </xf>
    <xf numFmtId="0" fontId="24" fillId="0" borderId="4" xfId="0" applyFont="1" applyBorder="1" applyAlignment="1">
      <alignment horizontal="left" vertical="top" wrapText="1"/>
    </xf>
    <xf numFmtId="0" fontId="24" fillId="0" borderId="5" xfId="0" applyFont="1" applyBorder="1" applyAlignment="1">
      <alignment horizontal="left" vertical="top" wrapText="1"/>
    </xf>
    <xf numFmtId="0" fontId="24" fillId="0" borderId="8" xfId="0" applyFont="1" applyBorder="1" applyAlignment="1">
      <alignment horizontal="left" vertical="top" wrapText="1"/>
    </xf>
    <xf numFmtId="0" fontId="24" fillId="0" borderId="6" xfId="0" applyFont="1" applyBorder="1" applyAlignment="1">
      <alignment horizontal="left" vertical="top" wrapText="1"/>
    </xf>
    <xf numFmtId="0" fontId="23" fillId="0" borderId="0" xfId="0" applyFont="1"/>
    <xf numFmtId="0" fontId="19" fillId="0" borderId="0" xfId="0" applyFont="1" applyBorder="1" applyAlignment="1">
      <alignment horizontal="right"/>
    </xf>
    <xf numFmtId="0" fontId="10" fillId="0" borderId="0" xfId="0" applyFont="1" applyBorder="1" applyAlignment="1">
      <alignment horizontal="left" vertical="center"/>
    </xf>
    <xf numFmtId="2" fontId="25" fillId="0" borderId="0" xfId="0" applyNumberFormat="1" applyFont="1" applyFill="1" applyBorder="1"/>
    <xf numFmtId="0" fontId="21" fillId="0" borderId="0" xfId="0" applyFont="1" applyBorder="1"/>
    <xf numFmtId="0" fontId="12" fillId="0" borderId="16" xfId="0" applyFont="1" applyBorder="1"/>
    <xf numFmtId="0" fontId="24" fillId="0" borderId="9" xfId="0" applyFont="1" applyBorder="1"/>
    <xf numFmtId="0" fontId="12" fillId="0" borderId="9" xfId="0" applyFont="1" applyBorder="1"/>
    <xf numFmtId="0" fontId="24" fillId="0" borderId="17" xfId="0" applyFont="1" applyBorder="1"/>
    <xf numFmtId="0" fontId="12" fillId="0" borderId="3" xfId="0" applyFont="1" applyBorder="1"/>
    <xf numFmtId="0" fontId="24" fillId="0" borderId="0" xfId="0" applyFont="1" applyBorder="1"/>
    <xf numFmtId="0" fontId="24" fillId="0" borderId="4" xfId="0" applyFont="1" applyBorder="1"/>
    <xf numFmtId="0" fontId="24" fillId="0" borderId="3" xfId="0" applyFont="1" applyBorder="1" applyAlignment="1">
      <alignment horizontal="left" indent="2"/>
    </xf>
    <xf numFmtId="0" fontId="24" fillId="0" borderId="0" xfId="0" applyFont="1" applyBorder="1" applyAlignment="1">
      <alignment horizontal="left" indent="2"/>
    </xf>
    <xf numFmtId="0" fontId="24" fillId="0" borderId="0" xfId="0" applyFont="1" applyBorder="1" applyAlignment="1">
      <alignment vertical="top"/>
    </xf>
    <xf numFmtId="0" fontId="24" fillId="0" borderId="8" xfId="0" applyFont="1" applyBorder="1" applyAlignment="1">
      <alignment vertical="top"/>
    </xf>
    <xf numFmtId="0" fontId="24" fillId="0" borderId="8" xfId="0" applyFont="1" applyBorder="1"/>
    <xf numFmtId="0" fontId="24" fillId="0" borderId="6" xfId="0" applyFont="1" applyBorder="1"/>
    <xf numFmtId="0" fontId="24" fillId="0" borderId="14" xfId="0" applyFont="1" applyBorder="1"/>
    <xf numFmtId="0" fontId="24" fillId="0" borderId="15" xfId="0" applyFont="1" applyBorder="1"/>
    <xf numFmtId="0" fontId="24" fillId="2" borderId="0" xfId="0" applyFont="1" applyFill="1" applyBorder="1"/>
    <xf numFmtId="0" fontId="12" fillId="2" borderId="0" xfId="0" applyFont="1" applyFill="1" applyBorder="1"/>
    <xf numFmtId="0" fontId="24" fillId="0" borderId="14" xfId="0" applyNumberFormat="1" applyFont="1" applyBorder="1"/>
    <xf numFmtId="0" fontId="24" fillId="0" borderId="0" xfId="0" applyNumberFormat="1" applyFont="1" applyBorder="1"/>
    <xf numFmtId="0" fontId="24" fillId="0" borderId="15" xfId="0" applyNumberFormat="1" applyFont="1" applyBorder="1"/>
    <xf numFmtId="0" fontId="24" fillId="2" borderId="0" xfId="0" applyNumberFormat="1" applyFont="1" applyFill="1" applyBorder="1"/>
    <xf numFmtId="0" fontId="24" fillId="0" borderId="20" xfId="0" applyFont="1" applyBorder="1"/>
    <xf numFmtId="0" fontId="24" fillId="0" borderId="3" xfId="0" applyFont="1" applyBorder="1"/>
    <xf numFmtId="0" fontId="24" fillId="0" borderId="3" xfId="0" applyFont="1" applyBorder="1" applyAlignment="1">
      <alignment horizontal="center"/>
    </xf>
    <xf numFmtId="0" fontId="24" fillId="0" borderId="4" xfId="0" applyNumberFormat="1" applyFont="1" applyBorder="1"/>
    <xf numFmtId="0" fontId="24" fillId="0" borderId="3" xfId="0" applyNumberFormat="1" applyFont="1" applyBorder="1" applyAlignment="1">
      <alignment horizontal="center"/>
    </xf>
    <xf numFmtId="0" fontId="24" fillId="0" borderId="5" xfId="0" applyNumberFormat="1" applyFont="1" applyBorder="1" applyAlignment="1">
      <alignment horizontal="center"/>
    </xf>
    <xf numFmtId="0" fontId="24" fillId="0" borderId="22" xfId="0" applyNumberFormat="1" applyFont="1" applyBorder="1"/>
    <xf numFmtId="0" fontId="24" fillId="0" borderId="8" xfId="0" applyNumberFormat="1" applyFont="1" applyBorder="1"/>
    <xf numFmtId="0" fontId="24" fillId="0" borderId="23" xfId="0" applyNumberFormat="1" applyFont="1" applyBorder="1"/>
    <xf numFmtId="0" fontId="24" fillId="2" borderId="8" xfId="0" applyNumberFormat="1" applyFont="1" applyFill="1" applyBorder="1"/>
    <xf numFmtId="0" fontId="24" fillId="0" borderId="6" xfId="0" applyNumberFormat="1" applyFont="1" applyBorder="1"/>
    <xf numFmtId="0" fontId="3" fillId="0" borderId="0" xfId="0" applyFont="1" applyFill="1"/>
    <xf numFmtId="0" fontId="11" fillId="0" borderId="0" xfId="0" applyFont="1" applyFill="1"/>
    <xf numFmtId="0" fontId="27" fillId="3" borderId="0" xfId="2" applyFont="1" applyFill="1" applyBorder="1" applyAlignment="1">
      <alignment horizontal="center" vertical="top" wrapText="1"/>
    </xf>
    <xf numFmtId="0" fontId="27" fillId="0" borderId="0" xfId="2" applyFont="1" applyFill="1" applyBorder="1" applyAlignment="1">
      <alignment horizontal="center" vertical="top" wrapText="1"/>
    </xf>
    <xf numFmtId="0" fontId="7" fillId="6" borderId="0" xfId="0" applyFont="1" applyFill="1"/>
    <xf numFmtId="0" fontId="0" fillId="6" borderId="0" xfId="0" applyFill="1"/>
    <xf numFmtId="0" fontId="29" fillId="0" borderId="0" xfId="0" applyFont="1" applyFill="1"/>
    <xf numFmtId="0" fontId="32" fillId="0" borderId="0" xfId="0" applyFont="1" applyFill="1"/>
    <xf numFmtId="0" fontId="33" fillId="0" borderId="0" xfId="0" applyFont="1" applyFill="1"/>
    <xf numFmtId="0" fontId="30" fillId="0" borderId="0" xfId="0" applyFont="1" applyFill="1"/>
    <xf numFmtId="0" fontId="36" fillId="0" borderId="0" xfId="0" applyFont="1" applyFill="1"/>
    <xf numFmtId="0" fontId="35" fillId="0" borderId="0" xfId="0" applyFont="1" applyFill="1"/>
    <xf numFmtId="0" fontId="35" fillId="0" borderId="0" xfId="0" applyFont="1" applyFill="1" applyAlignment="1">
      <alignment horizontal="right"/>
    </xf>
    <xf numFmtId="0" fontId="38" fillId="0" borderId="0" xfId="0" applyFont="1" applyFill="1"/>
    <xf numFmtId="0" fontId="36" fillId="0" borderId="0" xfId="0" applyFont="1" applyFill="1" applyAlignment="1">
      <alignment horizontal="right"/>
    </xf>
    <xf numFmtId="0" fontId="39" fillId="0" borderId="0" xfId="0" applyFont="1" applyFill="1"/>
    <xf numFmtId="9" fontId="39" fillId="0" borderId="0" xfId="1" applyFont="1" applyFill="1"/>
    <xf numFmtId="0" fontId="39" fillId="0" borderId="0" xfId="0" applyFont="1" applyFill="1" applyBorder="1" applyAlignment="1">
      <alignment horizontal="right"/>
    </xf>
    <xf numFmtId="2" fontId="39" fillId="0" borderId="0" xfId="0" applyNumberFormat="1" applyFont="1" applyFill="1" applyBorder="1"/>
    <xf numFmtId="0" fontId="35" fillId="0" borderId="0" xfId="0" applyFont="1" applyFill="1" applyAlignment="1">
      <alignment horizontal="right" vertical="top"/>
    </xf>
    <xf numFmtId="0" fontId="39" fillId="0" borderId="0" xfId="0" applyFont="1" applyFill="1" applyAlignment="1">
      <alignment horizontal="right"/>
    </xf>
    <xf numFmtId="0" fontId="39" fillId="0" borderId="0" xfId="0" applyFont="1" applyFill="1" applyBorder="1"/>
    <xf numFmtId="2" fontId="39" fillId="0" borderId="24" xfId="0" applyNumberFormat="1" applyFont="1" applyFill="1" applyBorder="1"/>
    <xf numFmtId="0" fontId="39" fillId="0" borderId="25" xfId="0" applyFont="1" applyFill="1" applyBorder="1"/>
    <xf numFmtId="0" fontId="39" fillId="0" borderId="26" xfId="0" applyFont="1" applyFill="1" applyBorder="1"/>
    <xf numFmtId="2" fontId="39" fillId="0" borderId="27" xfId="0" applyNumberFormat="1" applyFont="1" applyFill="1" applyBorder="1"/>
    <xf numFmtId="0" fontId="39" fillId="0" borderId="28" xfId="0" applyFont="1" applyFill="1" applyBorder="1"/>
    <xf numFmtId="2" fontId="39" fillId="0" borderId="29" xfId="0" applyNumberFormat="1" applyFont="1" applyFill="1" applyBorder="1"/>
    <xf numFmtId="0" fontId="39" fillId="0" borderId="30" xfId="0" applyFont="1" applyFill="1" applyBorder="1"/>
    <xf numFmtId="0" fontId="39" fillId="0" borderId="31" xfId="0" applyFont="1" applyFill="1" applyBorder="1"/>
    <xf numFmtId="0" fontId="10" fillId="0" borderId="0" xfId="0" applyFont="1" applyFill="1"/>
    <xf numFmtId="0" fontId="44" fillId="0" borderId="0" xfId="0" applyFont="1" applyFill="1"/>
    <xf numFmtId="0" fontId="43" fillId="0" borderId="0" xfId="0" applyFont="1" applyFill="1"/>
    <xf numFmtId="0" fontId="43" fillId="0" borderId="0" xfId="0" applyFont="1" applyFill="1" applyAlignment="1">
      <alignment horizontal="right"/>
    </xf>
    <xf numFmtId="0" fontId="43" fillId="0" borderId="0" xfId="0" applyFont="1" applyFill="1" applyAlignment="1">
      <alignment horizontal="right" vertical="top"/>
    </xf>
    <xf numFmtId="0" fontId="47" fillId="0" borderId="0" xfId="0" applyFont="1" applyFill="1"/>
    <xf numFmtId="0" fontId="48" fillId="0" borderId="0" xfId="0" applyFont="1" applyFill="1" applyAlignment="1">
      <alignment horizontal="right"/>
    </xf>
    <xf numFmtId="0" fontId="48" fillId="0" borderId="0" xfId="0" applyFont="1" applyFill="1" applyBorder="1" applyAlignment="1">
      <alignment horizontal="center"/>
    </xf>
    <xf numFmtId="0" fontId="49" fillId="0" borderId="0" xfId="2" applyFont="1" applyFill="1" applyAlignment="1">
      <alignment horizontal="center"/>
    </xf>
    <xf numFmtId="0" fontId="48" fillId="0" borderId="0" xfId="0" applyFont="1" applyFill="1" applyBorder="1" applyAlignment="1">
      <alignment horizontal="right"/>
    </xf>
    <xf numFmtId="0" fontId="48" fillId="0" borderId="0" xfId="0" applyFont="1" applyFill="1" applyBorder="1"/>
    <xf numFmtId="0" fontId="48" fillId="0" borderId="0" xfId="0" applyFont="1" applyFill="1" applyAlignment="1">
      <alignment horizontal="right" vertical="center"/>
    </xf>
    <xf numFmtId="0" fontId="43" fillId="0" borderId="0" xfId="0" applyFont="1" applyFill="1" applyAlignment="1">
      <alignment horizontal="left"/>
    </xf>
    <xf numFmtId="0" fontId="51" fillId="0" borderId="0" xfId="0" applyFont="1" applyFill="1" applyAlignment="1">
      <alignment horizontal="right" vertical="center"/>
    </xf>
    <xf numFmtId="2" fontId="48" fillId="0" borderId="0" xfId="0" applyNumberFormat="1" applyFont="1" applyFill="1" applyBorder="1"/>
    <xf numFmtId="0" fontId="53" fillId="0" borderId="0" xfId="0" applyFont="1" applyFill="1"/>
    <xf numFmtId="2" fontId="48" fillId="0" borderId="24" xfId="0" applyNumberFormat="1" applyFont="1" applyFill="1" applyBorder="1"/>
    <xf numFmtId="0" fontId="48" fillId="0" borderId="25" xfId="0" applyFont="1" applyFill="1" applyBorder="1"/>
    <xf numFmtId="0" fontId="48" fillId="0" borderId="26" xfId="0" applyFont="1" applyFill="1" applyBorder="1"/>
    <xf numFmtId="2" fontId="48" fillId="0" borderId="27" xfId="0" applyNumberFormat="1" applyFont="1" applyFill="1" applyBorder="1"/>
    <xf numFmtId="0" fontId="48" fillId="0" borderId="28" xfId="0" applyFont="1" applyFill="1" applyBorder="1"/>
    <xf numFmtId="2" fontId="48" fillId="0" borderId="29" xfId="0" applyNumberFormat="1" applyFont="1" applyFill="1" applyBorder="1"/>
    <xf numFmtId="0" fontId="48" fillId="0" borderId="30" xfId="0" applyFont="1" applyFill="1" applyBorder="1"/>
    <xf numFmtId="0" fontId="48" fillId="0" borderId="31" xfId="0" applyFont="1" applyFill="1" applyBorder="1"/>
    <xf numFmtId="0" fontId="54" fillId="0" borderId="0" xfId="0" applyFont="1" applyBorder="1" applyAlignment="1">
      <alignment horizontal="right"/>
    </xf>
    <xf numFmtId="0" fontId="22" fillId="3" borderId="0" xfId="2" applyFont="1" applyFill="1" applyAlignment="1">
      <alignment horizontal="center"/>
    </xf>
    <xf numFmtId="0" fontId="16" fillId="8" borderId="0" xfId="0" applyFont="1" applyFill="1" applyBorder="1" applyAlignment="1">
      <alignment horizontal="center"/>
    </xf>
    <xf numFmtId="0" fontId="35" fillId="0" borderId="0" xfId="0" applyFont="1" applyFill="1" applyAlignment="1">
      <alignment horizontal="left" vertical="top" wrapText="1"/>
    </xf>
    <xf numFmtId="0" fontId="35" fillId="0" borderId="0" xfId="0" applyFont="1" applyFill="1" applyAlignment="1">
      <alignment horizontal="center" vertical="top" wrapText="1"/>
    </xf>
    <xf numFmtId="0" fontId="35" fillId="0" borderId="0" xfId="0" applyFont="1" applyFill="1" applyAlignment="1">
      <alignment horizontal="left"/>
    </xf>
    <xf numFmtId="0" fontId="35" fillId="0" borderId="0" xfId="0" applyFont="1" applyFill="1" applyAlignment="1">
      <alignment horizontal="left" vertical="top"/>
    </xf>
    <xf numFmtId="0" fontId="43" fillId="0" borderId="0" xfId="0" applyFont="1" applyFill="1" applyAlignment="1">
      <alignment horizontal="left" vertical="top" wrapText="1"/>
    </xf>
    <xf numFmtId="0" fontId="43" fillId="0" borderId="0" xfId="0" applyFont="1" applyFill="1" applyAlignment="1">
      <alignment horizontal="left" vertical="top"/>
    </xf>
    <xf numFmtId="0" fontId="55" fillId="0" borderId="0" xfId="0" applyFont="1" applyFill="1"/>
    <xf numFmtId="1" fontId="48" fillId="0" borderId="0" xfId="1" applyNumberFormat="1" applyFont="1" applyFill="1" applyBorder="1"/>
    <xf numFmtId="2" fontId="56" fillId="0" borderId="0" xfId="0" applyNumberFormat="1" applyFont="1" applyFill="1" applyAlignment="1">
      <alignment horizontal="left" vertical="top" wrapText="1"/>
    </xf>
    <xf numFmtId="0" fontId="44" fillId="0" borderId="0" xfId="0" applyFont="1" applyFill="1" applyAlignment="1">
      <alignment horizontal="right"/>
    </xf>
    <xf numFmtId="9" fontId="48" fillId="0" borderId="0" xfId="1" applyFont="1" applyFill="1" applyBorder="1"/>
    <xf numFmtId="0" fontId="10" fillId="0" borderId="0" xfId="0" applyFont="1"/>
    <xf numFmtId="0" fontId="25" fillId="0" borderId="0" xfId="0" applyFont="1" applyFill="1" applyAlignment="1">
      <alignment horizontal="left" vertical="top" wrapText="1"/>
    </xf>
    <xf numFmtId="0" fontId="25" fillId="0" borderId="0" xfId="0" applyFont="1" applyFill="1"/>
    <xf numFmtId="0" fontId="48" fillId="0" borderId="0" xfId="0" applyFont="1" applyFill="1" applyAlignment="1">
      <alignment horizontal="center" vertical="top" wrapText="1"/>
    </xf>
    <xf numFmtId="0" fontId="18" fillId="0" borderId="0" xfId="0" applyFont="1" applyFill="1"/>
    <xf numFmtId="0" fontId="43" fillId="0" borderId="0" xfId="0" applyFont="1" applyFill="1" applyAlignment="1">
      <alignment horizontal="left" vertical="center"/>
    </xf>
    <xf numFmtId="0" fontId="44" fillId="0" borderId="0" xfId="0" applyFont="1" applyFill="1" applyAlignment="1">
      <alignment horizontal="left" vertical="top"/>
    </xf>
    <xf numFmtId="0" fontId="57" fillId="0" borderId="0" xfId="0" applyFont="1" applyFill="1"/>
    <xf numFmtId="0" fontId="19" fillId="0" borderId="0" xfId="0" applyFont="1"/>
    <xf numFmtId="2" fontId="10" fillId="0" borderId="0" xfId="0" applyNumberFormat="1" applyFont="1"/>
    <xf numFmtId="0" fontId="2" fillId="0" borderId="0" xfId="0" applyFont="1"/>
    <xf numFmtId="1" fontId="2" fillId="0" borderId="0" xfId="0" applyNumberFormat="1" applyFont="1"/>
    <xf numFmtId="2" fontId="56" fillId="0" borderId="0" xfId="0" applyNumberFormat="1" applyFont="1" applyFill="1"/>
    <xf numFmtId="2" fontId="2" fillId="0" borderId="0" xfId="0" applyNumberFormat="1" applyFont="1"/>
    <xf numFmtId="0" fontId="24" fillId="0" borderId="0" xfId="0" applyFont="1" applyFill="1"/>
    <xf numFmtId="0" fontId="24" fillId="0" borderId="0" xfId="0" applyFont="1"/>
    <xf numFmtId="0" fontId="18" fillId="0" borderId="0" xfId="0" applyFont="1" applyFill="1" applyAlignment="1">
      <alignment horizontal="center"/>
    </xf>
    <xf numFmtId="0" fontId="35" fillId="0" borderId="0" xfId="0" applyFont="1" applyFill="1" applyAlignment="1">
      <alignment vertical="top"/>
    </xf>
    <xf numFmtId="0" fontId="10" fillId="0" borderId="0" xfId="0" applyFont="1" applyAlignment="1">
      <alignment vertical="top"/>
    </xf>
    <xf numFmtId="0" fontId="39" fillId="0" borderId="0" xfId="0" applyFont="1" applyFill="1" applyAlignment="1">
      <alignment horizontal="left"/>
    </xf>
    <xf numFmtId="0" fontId="59" fillId="0" borderId="0" xfId="0" applyFont="1" applyFill="1"/>
    <xf numFmtId="0" fontId="18" fillId="0" borderId="0" xfId="0" applyFont="1" applyFill="1" applyBorder="1"/>
    <xf numFmtId="0" fontId="60" fillId="0" borderId="0" xfId="0" applyFont="1" applyFill="1"/>
    <xf numFmtId="2" fontId="18" fillId="0" borderId="27" xfId="0" applyNumberFormat="1" applyFont="1" applyFill="1" applyBorder="1"/>
    <xf numFmtId="0" fontId="18" fillId="0" borderId="0" xfId="0" applyFont="1"/>
    <xf numFmtId="0" fontId="25" fillId="0" borderId="0" xfId="0" applyFont="1"/>
    <xf numFmtId="0" fontId="18" fillId="0" borderId="0" xfId="0" applyFont="1" applyFill="1" applyBorder="1" applyAlignment="1">
      <alignment horizontal="center"/>
    </xf>
    <xf numFmtId="2" fontId="39" fillId="0" borderId="0" xfId="0" applyNumberFormat="1" applyFont="1" applyFill="1"/>
    <xf numFmtId="0" fontId="39" fillId="0" borderId="0" xfId="0" applyFont="1" applyFill="1" applyAlignment="1">
      <alignment vertical="top"/>
    </xf>
    <xf numFmtId="165" fontId="39" fillId="0" borderId="0" xfId="0" applyNumberFormat="1" applyFont="1" applyFill="1"/>
    <xf numFmtId="164" fontId="48" fillId="0" borderId="24" xfId="0" applyNumberFormat="1" applyFont="1" applyFill="1" applyBorder="1"/>
    <xf numFmtId="164" fontId="48" fillId="0" borderId="27" xfId="0" applyNumberFormat="1" applyFont="1" applyFill="1" applyBorder="1"/>
    <xf numFmtId="0" fontId="48" fillId="0" borderId="0" xfId="0" applyFont="1" applyFill="1" applyAlignment="1">
      <alignment horizontal="left" vertical="top" wrapText="1"/>
    </xf>
    <xf numFmtId="0" fontId="48" fillId="0" borderId="0" xfId="0" applyFont="1" applyFill="1" applyAlignment="1">
      <alignment horizontal="left" vertical="top"/>
    </xf>
    <xf numFmtId="164" fontId="48" fillId="0" borderId="29" xfId="0" applyNumberFormat="1" applyFont="1" applyFill="1" applyBorder="1"/>
    <xf numFmtId="0" fontId="48" fillId="0" borderId="0" xfId="0" applyFont="1" applyFill="1" applyBorder="1" applyAlignment="1" applyProtection="1">
      <alignment horizontal="center"/>
      <protection locked="0"/>
    </xf>
    <xf numFmtId="9" fontId="48" fillId="0" borderId="0" xfId="1" applyFont="1" applyFill="1" applyBorder="1" applyProtection="1">
      <protection locked="0"/>
    </xf>
    <xf numFmtId="2" fontId="48" fillId="0" borderId="0" xfId="1" applyNumberFormat="1" applyFont="1" applyFill="1" applyBorder="1" applyProtection="1">
      <protection locked="0"/>
    </xf>
    <xf numFmtId="10" fontId="48" fillId="0" borderId="0" xfId="1" applyNumberFormat="1" applyFont="1" applyFill="1" applyBorder="1" applyProtection="1">
      <protection locked="0"/>
    </xf>
    <xf numFmtId="0" fontId="10" fillId="0" borderId="0" xfId="0" applyFont="1" applyBorder="1" applyAlignment="1">
      <alignment horizontal="left"/>
    </xf>
    <xf numFmtId="0" fontId="20" fillId="6" borderId="19" xfId="0" applyFont="1" applyFill="1" applyBorder="1" applyAlignment="1">
      <alignment horizontal="center" textRotation="90" readingOrder="2"/>
    </xf>
    <xf numFmtId="0" fontId="20" fillId="6" borderId="0" xfId="0" applyFont="1" applyFill="1" applyBorder="1" applyAlignment="1">
      <alignment horizontal="center" textRotation="90" readingOrder="2"/>
    </xf>
    <xf numFmtId="0" fontId="5" fillId="5" borderId="18" xfId="0" applyFont="1" applyFill="1" applyBorder="1" applyAlignment="1">
      <alignment horizontal="center" vertical="center"/>
    </xf>
    <xf numFmtId="0" fontId="15" fillId="6" borderId="19" xfId="0" applyFont="1" applyFill="1" applyBorder="1" applyAlignment="1">
      <alignment horizontal="left"/>
    </xf>
    <xf numFmtId="0" fontId="21" fillId="0" borderId="0" xfId="0" applyFont="1" applyBorder="1" applyAlignment="1"/>
    <xf numFmtId="0" fontId="16" fillId="8" borderId="0" xfId="0" applyFont="1" applyFill="1" applyBorder="1" applyAlignment="1" applyProtection="1">
      <alignment horizontal="center"/>
      <protection locked="0"/>
    </xf>
    <xf numFmtId="0" fontId="13" fillId="0" borderId="0" xfId="0" applyFont="1" applyFill="1" applyBorder="1" applyAlignment="1">
      <alignment horizontal="center"/>
    </xf>
    <xf numFmtId="0" fontId="15" fillId="6" borderId="0" xfId="0" applyFont="1" applyFill="1" applyBorder="1" applyAlignment="1">
      <alignment horizontal="left"/>
    </xf>
    <xf numFmtId="0" fontId="10" fillId="0" borderId="0" xfId="0" applyFont="1" applyBorder="1" applyAlignment="1">
      <alignment horizontal="left" vertical="top" wrapText="1"/>
    </xf>
    <xf numFmtId="0" fontId="21" fillId="0" borderId="0" xfId="0" applyFont="1" applyBorder="1" applyAlignment="1">
      <alignment wrapText="1"/>
    </xf>
    <xf numFmtId="0" fontId="35" fillId="0" borderId="0" xfId="0" applyFont="1" applyFill="1" applyAlignment="1">
      <alignment horizontal="left" vertical="top" wrapText="1"/>
    </xf>
    <xf numFmtId="0" fontId="34" fillId="0" borderId="0" xfId="0" applyFont="1" applyFill="1" applyBorder="1" applyAlignment="1">
      <alignment horizontal="left"/>
    </xf>
    <xf numFmtId="0" fontId="35" fillId="0" borderId="0" xfId="0" applyFont="1" applyFill="1" applyAlignment="1">
      <alignment horizontal="center" vertical="top" wrapText="1"/>
    </xf>
    <xf numFmtId="0" fontId="32" fillId="0" borderId="0" xfId="0" applyFont="1" applyFill="1" applyAlignment="1">
      <alignment horizontal="center" vertical="top" wrapText="1"/>
    </xf>
    <xf numFmtId="0" fontId="5" fillId="6" borderId="0" xfId="0" applyFont="1" applyFill="1" applyBorder="1" applyAlignment="1">
      <alignment horizontal="center" vertical="center"/>
    </xf>
    <xf numFmtId="0" fontId="28" fillId="0" borderId="0" xfId="0" applyFont="1" applyFill="1" applyBorder="1" applyAlignment="1">
      <alignment horizontal="left"/>
    </xf>
    <xf numFmtId="0" fontId="32" fillId="0" borderId="0" xfId="0" applyFont="1" applyFill="1" applyAlignment="1">
      <alignment horizontal="left" vertical="top" wrapText="1"/>
    </xf>
    <xf numFmtId="0" fontId="31" fillId="0" borderId="0" xfId="0" applyFont="1" applyFill="1" applyBorder="1" applyAlignment="1">
      <alignment horizontal="left"/>
    </xf>
    <xf numFmtId="0" fontId="43" fillId="0" borderId="0" xfId="0" applyFont="1" applyFill="1" applyAlignment="1">
      <alignment horizontal="left" vertical="top" wrapText="1"/>
    </xf>
    <xf numFmtId="0" fontId="28" fillId="6" borderId="0" xfId="0" applyFont="1" applyFill="1" applyBorder="1" applyAlignment="1">
      <alignment horizontal="left"/>
    </xf>
    <xf numFmtId="0" fontId="35" fillId="0" borderId="0" xfId="0" applyFont="1" applyFill="1" applyAlignment="1">
      <alignment horizontal="left" vertical="top"/>
    </xf>
    <xf numFmtId="0" fontId="43" fillId="0" borderId="0" xfId="0" applyFont="1" applyFill="1" applyAlignment="1">
      <alignment horizontal="left" vertical="top"/>
    </xf>
    <xf numFmtId="0" fontId="5" fillId="5" borderId="0" xfId="0" applyFont="1" applyFill="1" applyBorder="1" applyAlignment="1">
      <alignment horizontal="center" vertical="center"/>
    </xf>
    <xf numFmtId="0" fontId="24" fillId="0" borderId="7" xfId="0" applyFont="1" applyBorder="1" applyAlignment="1">
      <alignment horizontal="center" vertical="top" wrapText="1"/>
    </xf>
    <xf numFmtId="0" fontId="24" fillId="0" borderId="10" xfId="0" applyFont="1" applyBorder="1" applyAlignment="1">
      <alignment horizontal="center"/>
    </xf>
    <xf numFmtId="0" fontId="24" fillId="0" borderId="11" xfId="0" applyFont="1" applyBorder="1" applyAlignment="1">
      <alignment horizontal="center"/>
    </xf>
    <xf numFmtId="0" fontId="24" fillId="0" borderId="12" xfId="0" applyFont="1" applyBorder="1" applyAlignment="1">
      <alignment horizontal="center"/>
    </xf>
    <xf numFmtId="0" fontId="12" fillId="2" borderId="10" xfId="0" applyFont="1" applyFill="1" applyBorder="1" applyAlignment="1">
      <alignment horizontal="center"/>
    </xf>
    <xf numFmtId="0" fontId="12" fillId="2" borderId="11" xfId="0" applyFont="1" applyFill="1" applyBorder="1" applyAlignment="1">
      <alignment horizontal="center"/>
    </xf>
    <xf numFmtId="0" fontId="12" fillId="2" borderId="21" xfId="0" applyFont="1" applyFill="1" applyBorder="1" applyAlignment="1">
      <alignment horizontal="center"/>
    </xf>
    <xf numFmtId="0" fontId="14" fillId="6" borderId="1" xfId="0" applyFont="1" applyFill="1" applyBorder="1" applyAlignment="1">
      <alignment horizontal="center" vertical="center" wrapText="1"/>
    </xf>
    <xf numFmtId="0" fontId="14" fillId="6" borderId="7"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4" fillId="0" borderId="3" xfId="0" applyFont="1" applyBorder="1" applyAlignment="1">
      <alignment horizontal="left" wrapText="1" indent="2"/>
    </xf>
    <xf numFmtId="0" fontId="24" fillId="0" borderId="0" xfId="0" applyFont="1" applyBorder="1" applyAlignment="1">
      <alignment horizontal="left" wrapText="1" indent="2"/>
    </xf>
    <xf numFmtId="0" fontId="24" fillId="0" borderId="5" xfId="0" applyFont="1" applyBorder="1" applyAlignment="1">
      <alignment horizontal="left" vertical="top" wrapText="1" indent="2"/>
    </xf>
    <xf numFmtId="0" fontId="24" fillId="0" borderId="8" xfId="0" applyFont="1" applyBorder="1" applyAlignment="1">
      <alignment horizontal="left" vertical="top" wrapText="1" indent="2"/>
    </xf>
    <xf numFmtId="0" fontId="14" fillId="6" borderId="1" xfId="0" applyFont="1" applyFill="1" applyBorder="1" applyAlignment="1">
      <alignment horizontal="center" vertical="center"/>
    </xf>
    <xf numFmtId="0" fontId="14" fillId="6" borderId="7" xfId="0" applyFont="1" applyFill="1" applyBorder="1" applyAlignment="1">
      <alignment horizontal="center" vertical="center"/>
    </xf>
    <xf numFmtId="0" fontId="14" fillId="6" borderId="2" xfId="0" applyFont="1" applyFill="1" applyBorder="1" applyAlignment="1">
      <alignment horizontal="center" vertical="center"/>
    </xf>
    <xf numFmtId="0" fontId="24" fillId="0" borderId="13" xfId="0" applyFont="1" applyBorder="1" applyAlignment="1">
      <alignment horizontal="center"/>
    </xf>
    <xf numFmtId="0" fontId="24" fillId="0" borderId="9" xfId="0" applyFont="1" applyBorder="1" applyAlignment="1">
      <alignment horizontal="center"/>
    </xf>
    <xf numFmtId="0" fontId="24" fillId="0" borderId="17" xfId="0" applyFont="1" applyBorder="1" applyAlignment="1">
      <alignment horizontal="center"/>
    </xf>
  </cellXfs>
  <cellStyles count="3">
    <cellStyle name="Hyperlink" xfId="2" builtinId="8"/>
    <cellStyle name="Normal" xfId="0" builtinId="0"/>
    <cellStyle name="Percent" xfId="1" builtinId="5"/>
  </cellStyles>
  <dxfs count="236">
    <dxf>
      <fill>
        <patternFill>
          <bgColor theme="0" tint="-0.14996795556505021"/>
        </patternFill>
      </fill>
    </dxf>
    <dxf>
      <font>
        <color theme="1"/>
      </font>
    </dxf>
    <dxf>
      <font>
        <color theme="1"/>
      </font>
    </dxf>
    <dxf>
      <font>
        <color theme="6" tint="-0.499984740745262"/>
      </font>
      <fill>
        <patternFill>
          <bgColor theme="6" tint="0.79998168889431442"/>
        </patternFill>
      </fill>
    </dxf>
    <dxf>
      <font>
        <color theme="5" tint="-0.499984740745262"/>
      </font>
      <fill>
        <patternFill>
          <bgColor theme="5" tint="0.79998168889431442"/>
        </patternFill>
      </fill>
    </dxf>
    <dxf>
      <font>
        <color theme="1"/>
      </font>
    </dxf>
    <dxf>
      <font>
        <color theme="6" tint="-0.499984740745262"/>
      </font>
      <fill>
        <patternFill>
          <bgColor theme="6" tint="0.79998168889431442"/>
        </patternFill>
      </fill>
    </dxf>
    <dxf>
      <font>
        <color theme="5" tint="-0.499984740745262"/>
      </font>
      <fill>
        <patternFill>
          <bgColor theme="5" tint="0.79998168889431442"/>
        </patternFill>
      </fill>
    </dxf>
    <dxf>
      <font>
        <color theme="1"/>
      </font>
    </dxf>
    <dxf>
      <font>
        <color theme="1"/>
      </font>
    </dxf>
    <dxf>
      <font>
        <b/>
        <i val="0"/>
        <color theme="0"/>
      </font>
      <fill>
        <patternFill>
          <bgColor rgb="FF7D944A"/>
        </patternFill>
      </fill>
    </dxf>
    <dxf>
      <font>
        <color theme="1"/>
      </font>
    </dxf>
    <dxf>
      <font>
        <color theme="1"/>
      </font>
    </dxf>
    <dxf>
      <font>
        <b/>
        <i val="0"/>
        <color theme="0"/>
      </font>
      <fill>
        <patternFill>
          <bgColor rgb="FFCA6652"/>
        </patternFill>
      </fill>
    </dxf>
    <dxf>
      <font>
        <color theme="1"/>
      </font>
    </dxf>
    <dxf>
      <font>
        <b/>
        <i val="0"/>
        <color theme="0"/>
      </font>
      <fill>
        <patternFill>
          <bgColor rgb="FFCA6652"/>
        </patternFill>
      </fill>
    </dxf>
    <dxf>
      <font>
        <color theme="1"/>
      </font>
    </dxf>
    <dxf>
      <font>
        <color theme="1"/>
      </font>
    </dxf>
    <dxf>
      <font>
        <color theme="1"/>
      </font>
    </dxf>
    <dxf>
      <fill>
        <patternFill>
          <bgColor theme="0" tint="-0.14996795556505021"/>
        </patternFill>
      </fill>
    </dxf>
    <dxf>
      <font>
        <color theme="1"/>
      </font>
    </dxf>
    <dxf>
      <font>
        <color theme="1"/>
      </font>
    </dxf>
    <dxf>
      <font>
        <color theme="1"/>
      </font>
    </dxf>
    <dxf>
      <font>
        <color theme="1"/>
      </font>
    </dxf>
    <dxf>
      <font>
        <color theme="1"/>
      </font>
    </dxf>
    <dxf>
      <font>
        <color theme="1"/>
      </font>
    </dxf>
    <dxf>
      <font>
        <b/>
        <i val="0"/>
        <color theme="0"/>
      </font>
      <fill>
        <patternFill>
          <bgColor rgb="FFCA6652"/>
        </patternFill>
      </fill>
    </dxf>
    <dxf>
      <font>
        <color theme="1"/>
      </font>
    </dxf>
    <dxf>
      <font>
        <b/>
        <i val="0"/>
        <color theme="0"/>
      </font>
      <fill>
        <patternFill>
          <bgColor rgb="FFCA6652"/>
        </patternFill>
      </fill>
    </dxf>
    <dxf>
      <font>
        <color theme="1"/>
      </font>
    </dxf>
    <dxf>
      <font>
        <color theme="1"/>
      </font>
    </dxf>
    <dxf>
      <font>
        <color theme="1"/>
      </font>
    </dxf>
    <dxf>
      <fill>
        <patternFill>
          <bgColor theme="0" tint="-0.14996795556505021"/>
        </patternFill>
      </fill>
    </dxf>
    <dxf>
      <font>
        <color theme="1"/>
      </font>
    </dxf>
    <dxf>
      <font>
        <b/>
        <i val="0"/>
        <color theme="0"/>
      </font>
      <fill>
        <patternFill>
          <bgColor rgb="FFCA6652"/>
        </patternFill>
      </fill>
    </dxf>
    <dxf>
      <font>
        <color theme="1"/>
      </font>
    </dxf>
    <dxf>
      <font>
        <b/>
        <i val="0"/>
        <color theme="0"/>
      </font>
      <fill>
        <patternFill>
          <bgColor rgb="FFCA6652"/>
        </patternFill>
      </fill>
    </dxf>
    <dxf>
      <font>
        <color theme="1"/>
      </font>
    </dxf>
    <dxf>
      <font>
        <color theme="1"/>
      </font>
    </dxf>
    <dxf>
      <font>
        <b/>
        <i val="0"/>
        <color theme="0"/>
      </font>
      <fill>
        <patternFill>
          <bgColor rgb="FFCA6652"/>
        </patternFill>
      </fill>
    </dxf>
    <dxf>
      <font>
        <color theme="1"/>
      </font>
    </dxf>
    <dxf>
      <fill>
        <patternFill>
          <bgColor theme="0" tint="-0.14996795556505021"/>
        </patternFill>
      </fill>
    </dxf>
    <dxf>
      <font>
        <color theme="1"/>
      </font>
    </dxf>
    <dxf>
      <font>
        <color theme="1"/>
      </font>
    </dxf>
    <dxf>
      <font>
        <color theme="1"/>
      </font>
    </dxf>
    <dxf>
      <font>
        <color theme="1"/>
      </font>
    </dxf>
    <dxf>
      <font>
        <color theme="1"/>
      </font>
    </dxf>
    <dxf>
      <font>
        <color theme="1"/>
      </font>
    </dxf>
    <dxf>
      <font>
        <color theme="1"/>
      </font>
    </dxf>
    <dxf>
      <font>
        <color theme="1"/>
      </font>
    </dxf>
    <dxf>
      <font>
        <b/>
        <i val="0"/>
        <color theme="0"/>
      </font>
      <fill>
        <patternFill>
          <bgColor rgb="FF7D944A"/>
        </patternFill>
      </fill>
    </dxf>
    <dxf>
      <font>
        <color theme="1"/>
      </font>
    </dxf>
    <dxf>
      <font>
        <color theme="6" tint="-0.499984740745262"/>
      </font>
      <fill>
        <patternFill>
          <bgColor theme="6" tint="0.79998168889431442"/>
        </patternFill>
      </fill>
    </dxf>
    <dxf>
      <font>
        <color theme="5" tint="-0.499984740745262"/>
      </font>
      <fill>
        <patternFill>
          <bgColor theme="5" tint="0.79998168889431442"/>
        </patternFill>
      </fill>
    </dxf>
    <dxf>
      <font>
        <color theme="6" tint="-0.499984740745262"/>
      </font>
      <fill>
        <patternFill>
          <bgColor theme="6" tint="0.79998168889431442"/>
        </patternFill>
      </fill>
    </dxf>
    <dxf>
      <font>
        <color theme="5" tint="-0.499984740745262"/>
      </font>
      <fill>
        <patternFill>
          <bgColor theme="5" tint="0.79998168889431442"/>
        </patternFill>
      </fill>
    </dxf>
    <dxf>
      <font>
        <color theme="6" tint="-0.499984740745262"/>
      </font>
      <fill>
        <patternFill>
          <bgColor theme="6" tint="0.79998168889431442"/>
        </patternFill>
      </fill>
    </dxf>
    <dxf>
      <font>
        <color theme="5" tint="-0.499984740745262"/>
      </font>
      <fill>
        <patternFill>
          <bgColor theme="5" tint="0.79998168889431442"/>
        </patternFill>
      </fill>
    </dxf>
    <dxf>
      <font>
        <color theme="1"/>
      </font>
    </dxf>
    <dxf>
      <fill>
        <patternFill>
          <bgColor theme="0" tint="-0.14996795556505021"/>
        </patternFill>
      </fill>
    </dxf>
    <dxf>
      <font>
        <color theme="1"/>
      </font>
    </dxf>
    <dxf>
      <font>
        <color theme="1"/>
      </font>
    </dxf>
    <dxf>
      <font>
        <color theme="1"/>
      </font>
    </dxf>
    <dxf>
      <font>
        <color theme="1"/>
      </font>
    </dxf>
    <dxf>
      <font>
        <color theme="1"/>
      </font>
    </dxf>
    <dxf>
      <font>
        <b/>
        <i val="0"/>
        <color theme="0"/>
      </font>
      <fill>
        <patternFill>
          <bgColor rgb="FFCA6652"/>
        </patternFill>
      </fill>
    </dxf>
    <dxf>
      <font>
        <color theme="1"/>
      </font>
    </dxf>
    <dxf>
      <font>
        <b/>
        <i val="0"/>
        <color theme="0"/>
      </font>
      <fill>
        <patternFill>
          <bgColor rgb="FFCA6652"/>
        </patternFill>
      </fill>
    </dxf>
    <dxf>
      <font>
        <color theme="1"/>
      </font>
    </dxf>
    <dxf>
      <font>
        <color theme="1"/>
      </font>
    </dxf>
    <dxf>
      <font>
        <color theme="1"/>
      </font>
    </dxf>
    <dxf>
      <fill>
        <patternFill>
          <bgColor theme="0" tint="-0.14996795556505021"/>
        </patternFill>
      </fill>
    </dxf>
    <dxf>
      <font>
        <color theme="1"/>
      </font>
    </dxf>
    <dxf>
      <fill>
        <patternFill>
          <bgColor theme="0" tint="-0.14996795556505021"/>
        </patternFill>
      </fill>
    </dxf>
    <dxf>
      <fill>
        <patternFill>
          <bgColor theme="1"/>
        </patternFill>
      </fill>
    </dxf>
    <dxf>
      <font>
        <b/>
        <i val="0"/>
        <color theme="0"/>
      </font>
      <fill>
        <patternFill>
          <bgColor rgb="FFCA6652"/>
        </patternFill>
      </fill>
    </dxf>
    <dxf>
      <font>
        <b/>
        <i val="0"/>
        <color theme="0"/>
      </font>
      <fill>
        <patternFill>
          <bgColor rgb="FF7D944A"/>
        </patternFill>
      </fill>
    </dxf>
    <dxf>
      <font>
        <color theme="1"/>
      </font>
    </dxf>
    <dxf>
      <font>
        <color theme="6" tint="-0.499984740745262"/>
      </font>
      <fill>
        <patternFill>
          <bgColor theme="6" tint="0.79998168889431442"/>
        </patternFill>
      </fill>
    </dxf>
    <dxf>
      <font>
        <color theme="5" tint="-0.499984740745262"/>
      </font>
      <fill>
        <patternFill>
          <bgColor theme="5" tint="0.79998168889431442"/>
        </patternFill>
      </fill>
    </dxf>
    <dxf>
      <font>
        <color theme="6" tint="-0.499984740745262"/>
      </font>
      <fill>
        <patternFill>
          <bgColor theme="6" tint="0.79998168889431442"/>
        </patternFill>
      </fill>
    </dxf>
    <dxf>
      <font>
        <color theme="5" tint="-0.499984740745262"/>
      </font>
      <fill>
        <patternFill>
          <bgColor theme="5" tint="0.79998168889431442"/>
        </patternFill>
      </fill>
    </dxf>
    <dxf>
      <font>
        <color theme="6" tint="-0.499984740745262"/>
      </font>
      <fill>
        <patternFill>
          <bgColor theme="6" tint="0.79998168889431442"/>
        </patternFill>
      </fill>
    </dxf>
    <dxf>
      <font>
        <color theme="5" tint="-0.499984740745262"/>
      </font>
      <fill>
        <patternFill>
          <bgColor theme="5" tint="0.79998168889431442"/>
        </patternFill>
      </fill>
    </dxf>
    <dxf>
      <font>
        <color theme="1"/>
      </font>
    </dxf>
    <dxf>
      <font>
        <color theme="1"/>
      </font>
    </dxf>
    <dxf>
      <font>
        <color theme="1"/>
      </font>
    </dxf>
    <dxf>
      <font>
        <color theme="1"/>
      </font>
    </dxf>
    <dxf>
      <font>
        <color theme="1"/>
      </font>
    </dxf>
    <dxf>
      <font>
        <color theme="1"/>
      </font>
    </dxf>
    <dxf>
      <font>
        <color theme="1"/>
      </font>
    </dxf>
    <dxf>
      <font>
        <color theme="1"/>
      </font>
    </dxf>
    <dxf>
      <font>
        <b/>
        <i val="0"/>
        <color theme="0"/>
      </font>
      <fill>
        <patternFill>
          <bgColor rgb="FF7D944A"/>
        </patternFill>
      </fill>
    </dxf>
    <dxf>
      <font>
        <color theme="1"/>
      </font>
    </dxf>
    <dxf>
      <font>
        <b/>
        <i val="0"/>
        <color theme="0"/>
      </font>
      <fill>
        <patternFill>
          <bgColor rgb="FFCA6652"/>
        </patternFill>
      </fill>
    </dxf>
    <dxf>
      <font>
        <color theme="1"/>
      </font>
    </dxf>
    <dxf>
      <fill>
        <patternFill>
          <bgColor theme="0" tint="-0.14996795556505021"/>
        </patternFill>
      </fill>
    </dxf>
    <dxf>
      <font>
        <color theme="1"/>
      </font>
    </dxf>
    <dxf>
      <font>
        <color theme="1"/>
      </font>
    </dxf>
    <dxf>
      <font>
        <color theme="1"/>
      </font>
    </dxf>
    <dxf>
      <font>
        <color theme="1"/>
      </font>
    </dxf>
    <dxf>
      <font>
        <color theme="1"/>
      </font>
    </dxf>
    <dxf>
      <font>
        <b/>
        <i val="0"/>
        <color theme="0"/>
      </font>
      <fill>
        <patternFill>
          <bgColor rgb="FFCA6652"/>
        </patternFill>
      </fill>
    </dxf>
    <dxf>
      <font>
        <color theme="1"/>
      </font>
    </dxf>
    <dxf>
      <font>
        <b/>
        <i val="0"/>
        <color theme="0"/>
      </font>
      <fill>
        <patternFill>
          <bgColor rgb="FFCA6652"/>
        </patternFill>
      </fill>
    </dxf>
    <dxf>
      <font>
        <color theme="1"/>
      </font>
    </dxf>
    <dxf>
      <font>
        <b/>
        <i val="0"/>
        <color theme="0"/>
      </font>
      <fill>
        <patternFill>
          <bgColor rgb="FF7D944A"/>
        </patternFill>
      </fill>
    </dxf>
    <dxf>
      <font>
        <color theme="1"/>
      </font>
    </dxf>
    <dxf>
      <fill>
        <patternFill>
          <bgColor theme="0" tint="-0.14996795556505021"/>
        </patternFill>
      </fill>
    </dxf>
    <dxf>
      <font>
        <color theme="1"/>
      </font>
    </dxf>
    <dxf>
      <fill>
        <patternFill>
          <bgColor theme="0" tint="-0.14996795556505021"/>
        </patternFill>
      </fill>
    </dxf>
    <dxf>
      <font>
        <color theme="1"/>
      </font>
    </dxf>
    <dxf>
      <font>
        <color rgb="FF082CC4"/>
      </font>
      <fill>
        <patternFill>
          <bgColor theme="8" tint="0.59996337778862885"/>
        </patternFill>
      </fill>
    </dxf>
    <dxf>
      <fill>
        <patternFill>
          <bgColor theme="1"/>
        </patternFill>
      </fill>
    </dxf>
    <dxf>
      <font>
        <b/>
        <i val="0"/>
        <color theme="0"/>
      </font>
      <fill>
        <patternFill>
          <bgColor rgb="FFCA6652"/>
        </patternFill>
      </fill>
    </dxf>
    <dxf>
      <font>
        <b/>
        <i val="0"/>
        <color theme="0"/>
      </font>
      <fill>
        <patternFill>
          <bgColor rgb="FF7D944A"/>
        </patternFill>
      </fill>
    </dxf>
    <dxf>
      <fill>
        <patternFill>
          <bgColor theme="0" tint="-0.14996795556505021"/>
        </patternFill>
      </fill>
    </dxf>
    <dxf>
      <font>
        <color theme="1"/>
      </font>
    </dxf>
    <dxf>
      <font>
        <color rgb="FF082CC4"/>
      </font>
      <fill>
        <patternFill>
          <bgColor theme="8" tint="0.59996337778862885"/>
        </patternFill>
      </fill>
    </dxf>
    <dxf>
      <font>
        <color theme="1"/>
      </font>
    </dxf>
    <dxf>
      <font>
        <color rgb="FF082CC4"/>
      </font>
      <fill>
        <patternFill>
          <bgColor theme="8" tint="0.59996337778862885"/>
        </patternFill>
      </fill>
    </dxf>
    <dxf>
      <font>
        <color theme="1"/>
      </font>
    </dxf>
    <dxf>
      <font>
        <color theme="1"/>
      </font>
    </dxf>
    <dxf>
      <font>
        <color theme="6" tint="-0.499984740745262"/>
      </font>
      <fill>
        <patternFill>
          <bgColor theme="6" tint="0.79998168889431442"/>
        </patternFill>
      </fill>
    </dxf>
    <dxf>
      <font>
        <color theme="5" tint="-0.499984740745262"/>
      </font>
      <fill>
        <patternFill>
          <bgColor theme="5" tint="0.79998168889431442"/>
        </patternFill>
      </fill>
    </dxf>
    <dxf>
      <font>
        <color theme="6" tint="-0.499984740745262"/>
      </font>
      <fill>
        <patternFill>
          <bgColor theme="6" tint="0.79998168889431442"/>
        </patternFill>
      </fill>
    </dxf>
    <dxf>
      <font>
        <color theme="5" tint="-0.499984740745262"/>
      </font>
      <fill>
        <patternFill>
          <bgColor theme="5" tint="0.79998168889431442"/>
        </patternFill>
      </fill>
    </dxf>
    <dxf>
      <font>
        <color theme="6" tint="-0.499984740745262"/>
      </font>
      <fill>
        <patternFill>
          <bgColor theme="6" tint="0.79998168889431442"/>
        </patternFill>
      </fill>
    </dxf>
    <dxf>
      <font>
        <color theme="5" tint="-0.499984740745262"/>
      </font>
      <fill>
        <patternFill>
          <bgColor theme="5" tint="0.79998168889431442"/>
        </patternFill>
      </fill>
    </dxf>
    <dxf>
      <font>
        <color theme="1"/>
      </font>
    </dxf>
    <dxf>
      <font>
        <color theme="1"/>
      </font>
    </dxf>
    <dxf>
      <font>
        <color theme="1"/>
      </font>
    </dxf>
    <dxf>
      <font>
        <color theme="1"/>
      </font>
    </dxf>
    <dxf>
      <font>
        <color theme="1"/>
      </font>
    </dxf>
    <dxf>
      <font>
        <color theme="1"/>
      </font>
    </dxf>
    <dxf>
      <font>
        <color theme="1"/>
      </font>
    </dxf>
    <dxf>
      <font>
        <color theme="1"/>
      </font>
    </dxf>
    <dxf>
      <font>
        <b/>
        <i val="0"/>
        <color theme="0"/>
      </font>
      <fill>
        <patternFill>
          <bgColor rgb="FF7D944A"/>
        </patternFill>
      </fill>
    </dxf>
    <dxf>
      <font>
        <color theme="1"/>
      </font>
    </dxf>
    <dxf>
      <font>
        <b/>
        <i val="0"/>
        <color theme="0"/>
      </font>
      <fill>
        <patternFill>
          <bgColor rgb="FFCA6652"/>
        </patternFill>
      </fill>
    </dxf>
    <dxf>
      <font>
        <color theme="1"/>
      </font>
    </dxf>
    <dxf>
      <fill>
        <patternFill>
          <bgColor theme="0" tint="-0.14996795556505021"/>
        </patternFill>
      </fill>
    </dxf>
    <dxf>
      <font>
        <color theme="1"/>
      </font>
    </dxf>
    <dxf>
      <font>
        <color theme="1"/>
      </font>
    </dxf>
    <dxf>
      <font>
        <color theme="1"/>
      </font>
    </dxf>
    <dxf>
      <font>
        <color theme="1"/>
      </font>
    </dxf>
    <dxf>
      <font>
        <color theme="1"/>
      </font>
    </dxf>
    <dxf>
      <font>
        <b/>
        <i val="0"/>
        <color theme="0"/>
      </font>
      <fill>
        <patternFill>
          <bgColor rgb="FFCA6652"/>
        </patternFill>
      </fill>
    </dxf>
    <dxf>
      <font>
        <color theme="1"/>
      </font>
    </dxf>
    <dxf>
      <font>
        <b/>
        <i val="0"/>
        <color theme="0"/>
      </font>
      <fill>
        <patternFill>
          <bgColor rgb="FFCA6652"/>
        </patternFill>
      </fill>
    </dxf>
    <dxf>
      <font>
        <color theme="1"/>
      </font>
    </dxf>
    <dxf>
      <font>
        <b/>
        <i val="0"/>
        <color theme="0"/>
      </font>
      <fill>
        <patternFill>
          <bgColor rgb="FF7D944A"/>
        </patternFill>
      </fill>
    </dxf>
    <dxf>
      <font>
        <color theme="1"/>
      </font>
    </dxf>
    <dxf>
      <fill>
        <patternFill>
          <bgColor theme="0" tint="-0.14996795556505021"/>
        </patternFill>
      </fill>
    </dxf>
    <dxf>
      <font>
        <color theme="1"/>
      </font>
    </dxf>
    <dxf>
      <fill>
        <patternFill>
          <bgColor theme="0" tint="-0.14996795556505021"/>
        </patternFill>
      </fill>
    </dxf>
    <dxf>
      <font>
        <color theme="1"/>
      </font>
    </dxf>
    <dxf>
      <fill>
        <patternFill>
          <bgColor theme="1"/>
        </patternFill>
      </fill>
    </dxf>
    <dxf>
      <font>
        <b/>
        <i val="0"/>
        <color theme="0"/>
      </font>
      <fill>
        <patternFill>
          <bgColor rgb="FFCA6652"/>
        </patternFill>
      </fill>
    </dxf>
    <dxf>
      <font>
        <b/>
        <i val="0"/>
        <color theme="0"/>
      </font>
      <fill>
        <patternFill>
          <bgColor rgb="FF7D944A"/>
        </patternFill>
      </fill>
    </dxf>
    <dxf>
      <fill>
        <patternFill>
          <bgColor theme="0" tint="-0.14996795556505021"/>
        </patternFill>
      </fill>
    </dxf>
    <dxf>
      <font>
        <color theme="1"/>
      </font>
    </dxf>
    <dxf>
      <font>
        <color theme="1"/>
      </font>
    </dxf>
    <dxf>
      <font>
        <color rgb="FF082CC4"/>
      </font>
      <fill>
        <patternFill>
          <bgColor theme="8" tint="0.59996337778862885"/>
        </patternFill>
      </fill>
    </dxf>
    <dxf>
      <font>
        <b/>
        <i val="0"/>
        <color theme="0"/>
      </font>
      <fill>
        <patternFill>
          <bgColor rgb="FF7D944A"/>
        </patternFill>
      </fill>
    </dxf>
    <dxf>
      <font>
        <color theme="1"/>
      </font>
    </dxf>
    <dxf>
      <font>
        <color theme="1"/>
      </font>
    </dxf>
    <dxf>
      <font>
        <b/>
        <i val="0"/>
        <color theme="0"/>
      </font>
      <fill>
        <patternFill>
          <bgColor rgb="FFCA6652"/>
        </patternFill>
      </fill>
    </dxf>
    <dxf>
      <font>
        <color theme="1"/>
      </font>
    </dxf>
    <dxf>
      <fill>
        <patternFill>
          <bgColor theme="0" tint="-0.14996795556505021"/>
        </patternFill>
      </fill>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b/>
        <i val="0"/>
        <color theme="0"/>
      </font>
      <fill>
        <patternFill>
          <bgColor rgb="FF7D944A"/>
        </patternFill>
      </fill>
    </dxf>
    <dxf>
      <font>
        <color theme="1"/>
      </font>
    </dxf>
    <dxf>
      <font>
        <b/>
        <i val="0"/>
        <color theme="0"/>
      </font>
      <fill>
        <patternFill>
          <bgColor rgb="FFCA6652"/>
        </patternFill>
      </fill>
    </dxf>
    <dxf>
      <font>
        <color theme="1"/>
      </font>
    </dxf>
    <dxf>
      <font>
        <color theme="1"/>
      </font>
    </dxf>
    <dxf>
      <font>
        <b/>
        <i val="0"/>
        <color theme="0"/>
      </font>
      <fill>
        <patternFill>
          <bgColor rgb="FF7D944A"/>
        </patternFill>
      </fill>
    </dxf>
    <dxf>
      <font>
        <color theme="1"/>
      </font>
    </dxf>
    <dxf>
      <font>
        <color theme="6" tint="-0.499984740745262"/>
      </font>
      <fill>
        <patternFill>
          <bgColor theme="6" tint="0.79998168889431442"/>
        </patternFill>
      </fill>
    </dxf>
    <dxf>
      <font>
        <color theme="5" tint="-0.499984740745262"/>
      </font>
      <fill>
        <patternFill>
          <bgColor theme="5" tint="0.79998168889431442"/>
        </patternFill>
      </fill>
    </dxf>
    <dxf>
      <font>
        <color theme="6" tint="-0.499984740745262"/>
      </font>
      <fill>
        <patternFill>
          <bgColor theme="6" tint="0.79998168889431442"/>
        </patternFill>
      </fill>
    </dxf>
    <dxf>
      <font>
        <color theme="5" tint="-0.499984740745262"/>
      </font>
      <fill>
        <patternFill>
          <bgColor theme="5" tint="0.79998168889431442"/>
        </patternFill>
      </fill>
    </dxf>
    <dxf>
      <font>
        <color theme="6" tint="-0.499984740745262"/>
      </font>
      <fill>
        <patternFill>
          <bgColor theme="6" tint="0.79998168889431442"/>
        </patternFill>
      </fill>
    </dxf>
    <dxf>
      <font>
        <color theme="5" tint="-0.499984740745262"/>
      </font>
      <fill>
        <patternFill>
          <bgColor theme="5" tint="0.79998168889431442"/>
        </patternFill>
      </fill>
    </dxf>
    <dxf>
      <font>
        <color theme="1"/>
      </font>
    </dxf>
    <dxf>
      <fill>
        <patternFill>
          <bgColor theme="0" tint="-0.14996795556505021"/>
        </patternFill>
      </fill>
    </dxf>
    <dxf>
      <font>
        <color theme="1"/>
      </font>
    </dxf>
    <dxf>
      <font>
        <color theme="1"/>
      </font>
    </dxf>
    <dxf>
      <fill>
        <patternFill>
          <bgColor theme="0" tint="-0.14996795556505021"/>
        </patternFill>
      </fill>
    </dxf>
    <dxf>
      <font>
        <color theme="1"/>
      </font>
    </dxf>
    <dxf>
      <font>
        <color theme="1"/>
      </font>
    </dxf>
    <dxf>
      <font>
        <color theme="1"/>
      </font>
    </dxf>
    <dxf>
      <font>
        <color theme="1"/>
      </font>
    </dxf>
    <dxf>
      <font>
        <b/>
        <i val="0"/>
        <color theme="0"/>
      </font>
      <fill>
        <patternFill>
          <bgColor rgb="FF7D944A"/>
        </patternFill>
      </fill>
    </dxf>
    <dxf>
      <font>
        <color theme="1"/>
      </font>
    </dxf>
    <dxf>
      <font>
        <color theme="1"/>
      </font>
    </dxf>
    <dxf>
      <font>
        <b/>
        <i val="0"/>
        <color theme="0"/>
      </font>
      <fill>
        <patternFill>
          <bgColor rgb="FF7D944A"/>
        </patternFill>
      </fill>
    </dxf>
    <dxf>
      <font>
        <color theme="1"/>
      </font>
    </dxf>
    <dxf>
      <font>
        <color theme="1"/>
      </font>
    </dxf>
    <dxf>
      <fill>
        <patternFill>
          <bgColor theme="0" tint="-0.14996795556505021"/>
        </patternFill>
      </fill>
    </dxf>
    <dxf>
      <font>
        <color theme="1"/>
      </font>
    </dxf>
    <dxf>
      <font>
        <color theme="1"/>
      </font>
    </dxf>
    <dxf>
      <font>
        <color theme="1"/>
      </font>
    </dxf>
    <dxf>
      <fill>
        <patternFill>
          <bgColor theme="0" tint="-0.14996795556505021"/>
        </patternFill>
      </fill>
    </dxf>
    <dxf>
      <font>
        <color theme="1"/>
      </font>
    </dxf>
    <dxf>
      <font>
        <b/>
        <i val="0"/>
        <color theme="0"/>
      </font>
      <fill>
        <patternFill>
          <bgColor rgb="FF7D944A"/>
        </patternFill>
      </fill>
    </dxf>
    <dxf>
      <font>
        <color theme="1"/>
      </font>
    </dxf>
    <dxf>
      <font>
        <color theme="1"/>
      </font>
    </dxf>
    <dxf>
      <font>
        <b/>
        <i val="0"/>
        <color theme="0"/>
      </font>
      <fill>
        <patternFill>
          <bgColor rgb="FFCA6652"/>
        </patternFill>
      </fill>
    </dxf>
    <dxf>
      <font>
        <color theme="1"/>
      </font>
    </dxf>
    <dxf>
      <font>
        <b/>
        <i val="0"/>
        <color theme="0"/>
      </font>
      <fill>
        <patternFill>
          <bgColor rgb="FFCA6652"/>
        </patternFill>
      </fill>
    </dxf>
    <dxf>
      <font>
        <color theme="1"/>
      </font>
    </dxf>
    <dxf>
      <font>
        <color theme="1"/>
      </font>
    </dxf>
    <dxf>
      <font>
        <color theme="1"/>
      </font>
    </dxf>
    <dxf>
      <fill>
        <patternFill>
          <bgColor theme="0" tint="-0.14996795556505021"/>
        </patternFill>
      </fill>
    </dxf>
    <dxf>
      <font>
        <color theme="1"/>
      </font>
    </dxf>
    <dxf>
      <fill>
        <patternFill>
          <bgColor theme="0" tint="-0.14996795556505021"/>
        </patternFill>
      </fill>
    </dxf>
    <dxf>
      <fill>
        <patternFill>
          <bgColor theme="1"/>
        </patternFill>
      </fill>
    </dxf>
    <dxf>
      <font>
        <b/>
        <i val="0"/>
        <color theme="0"/>
      </font>
      <fill>
        <patternFill>
          <bgColor rgb="FFCA6652"/>
        </patternFill>
      </fill>
    </dxf>
    <dxf>
      <font>
        <b/>
        <i val="0"/>
        <color theme="0"/>
      </font>
      <fill>
        <patternFill>
          <bgColor rgb="FF7D944A"/>
        </patternFill>
      </fill>
    </dxf>
    <dxf>
      <font>
        <color theme="1"/>
      </font>
    </dxf>
  </dxfs>
  <tableStyles count="0" defaultTableStyle="TableStyleMedium9" defaultPivotStyle="PivotStyleLight16"/>
  <colors>
    <mruColors>
      <color rgb="FF1264BE"/>
      <color rgb="FF082CC4"/>
      <color rgb="FFCA6652"/>
      <color rgb="FF7D944A"/>
      <color rgb="FFCC3300"/>
      <color rgb="FF167AE8"/>
      <color rgb="FFCA6664"/>
      <color rgb="FFFDE4CF"/>
      <color rgb="FFFFFFCC"/>
      <color rgb="FF3C90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1466850</xdr:colOff>
      <xdr:row>20</xdr:row>
      <xdr:rowOff>133350</xdr:rowOff>
    </xdr:from>
    <xdr:to>
      <xdr:col>5</xdr:col>
      <xdr:colOff>1743075</xdr:colOff>
      <xdr:row>42</xdr:row>
      <xdr:rowOff>76200</xdr:rowOff>
    </xdr:to>
    <xdr:pic>
      <xdr:nvPicPr>
        <xdr:cNvPr id="2" name="Picture 1" descr="HVAC Mapp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57675" y="6781800"/>
          <a:ext cx="4962525" cy="413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6.bin"/><Relationship Id="rId1" Type="http://schemas.openxmlformats.org/officeDocument/2006/relationships/hyperlink" Target="http://www.pnl.gov/main/publications/external/technical_reports/pnnl-19004.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279"/>
  <sheetViews>
    <sheetView tabSelected="1" zoomScaleNormal="100" workbookViewId="0">
      <selection activeCell="C25" sqref="C25:D25"/>
    </sheetView>
  </sheetViews>
  <sheetFormatPr defaultColWidth="0" defaultRowHeight="15" zeroHeight="1" x14ac:dyDescent="0.25"/>
  <cols>
    <col min="1" max="1" width="6.5703125" style="2" customWidth="1"/>
    <col min="2" max="2" width="19.5703125" customWidth="1"/>
    <col min="3" max="3" width="28" customWidth="1"/>
    <col min="4" max="4" width="15.28515625" customWidth="1"/>
    <col min="5" max="5" width="20.85546875" customWidth="1"/>
    <col min="6" max="6" width="3.42578125" style="2" hidden="1" customWidth="1"/>
    <col min="7" max="7" width="14.5703125" hidden="1"/>
    <col min="8" max="9" width="9.140625" hidden="1"/>
    <col min="10" max="10" width="22.28515625" hidden="1"/>
    <col min="11" max="16383" width="9.140625" hidden="1"/>
    <col min="16384" max="16384" width="0.140625" customWidth="1"/>
  </cols>
  <sheetData>
    <row r="1" spans="1:10" s="8" customFormat="1" ht="30" customHeight="1" thickBot="1" x14ac:dyDescent="0.3">
      <c r="A1" s="191" t="s">
        <v>109</v>
      </c>
      <c r="B1" s="191"/>
      <c r="C1" s="191"/>
      <c r="D1" s="191"/>
      <c r="E1" s="191"/>
      <c r="F1" s="15"/>
    </row>
    <row r="2" spans="1:10" s="8" customFormat="1" ht="15" customHeight="1" x14ac:dyDescent="0.25">
      <c r="A2" s="189" t="s">
        <v>110</v>
      </c>
      <c r="B2" s="192" t="s">
        <v>111</v>
      </c>
      <c r="C2" s="192"/>
      <c r="D2" s="192"/>
      <c r="E2" s="192"/>
      <c r="F2" s="16"/>
    </row>
    <row r="3" spans="1:10" ht="41.25" customHeight="1" x14ac:dyDescent="0.25">
      <c r="A3" s="190"/>
      <c r="B3" s="197" t="s">
        <v>229</v>
      </c>
      <c r="C3" s="197"/>
      <c r="D3" s="197"/>
      <c r="E3" s="197"/>
      <c r="F3" s="17"/>
    </row>
    <row r="4" spans="1:10" x14ac:dyDescent="0.25">
      <c r="A4" s="190"/>
      <c r="B4" s="135" t="s">
        <v>162</v>
      </c>
      <c r="C4" s="47" t="s">
        <v>4</v>
      </c>
      <c r="D4" s="12"/>
      <c r="E4" s="12"/>
      <c r="F4" s="18"/>
    </row>
    <row r="5" spans="1:10" x14ac:dyDescent="0.25">
      <c r="A5" s="190"/>
      <c r="B5" s="135" t="s">
        <v>162</v>
      </c>
      <c r="C5" s="47" t="s">
        <v>5</v>
      </c>
      <c r="D5" s="12"/>
      <c r="E5" s="12"/>
      <c r="F5" s="18"/>
    </row>
    <row r="6" spans="1:10" x14ac:dyDescent="0.25">
      <c r="A6" s="190"/>
      <c r="B6" s="135" t="s">
        <v>162</v>
      </c>
      <c r="C6" s="47" t="s">
        <v>6</v>
      </c>
      <c r="D6" s="12"/>
      <c r="E6" s="12"/>
      <c r="F6" s="18"/>
    </row>
    <row r="7" spans="1:10" x14ac:dyDescent="0.25">
      <c r="A7" s="190"/>
      <c r="B7" s="135"/>
      <c r="C7" s="13"/>
      <c r="D7" s="12"/>
      <c r="E7" s="12"/>
      <c r="F7" s="18"/>
    </row>
    <row r="8" spans="1:10" ht="39.75" customHeight="1" x14ac:dyDescent="0.25">
      <c r="A8" s="190"/>
      <c r="B8" s="197" t="s">
        <v>102</v>
      </c>
      <c r="C8" s="197"/>
      <c r="D8" s="197"/>
      <c r="E8" s="197"/>
      <c r="F8" s="17"/>
      <c r="J8" s="1"/>
    </row>
    <row r="9" spans="1:10" x14ac:dyDescent="0.25">
      <c r="A9" s="190"/>
      <c r="B9" s="135" t="s">
        <v>162</v>
      </c>
      <c r="C9" s="46" t="s">
        <v>157</v>
      </c>
      <c r="D9" s="193" t="s">
        <v>103</v>
      </c>
      <c r="E9" s="193"/>
      <c r="F9" s="18"/>
      <c r="J9" s="1"/>
    </row>
    <row r="10" spans="1:10" ht="15" customHeight="1" x14ac:dyDescent="0.25">
      <c r="A10" s="190"/>
      <c r="B10" s="135" t="s">
        <v>162</v>
      </c>
      <c r="C10" s="46" t="s">
        <v>158</v>
      </c>
      <c r="D10" s="198" t="s">
        <v>107</v>
      </c>
      <c r="E10" s="198"/>
      <c r="F10" s="18"/>
      <c r="J10" s="1"/>
    </row>
    <row r="11" spans="1:10" ht="15" customHeight="1" x14ac:dyDescent="0.25">
      <c r="A11" s="190"/>
      <c r="B11" s="135" t="s">
        <v>162</v>
      </c>
      <c r="C11" s="46" t="s">
        <v>159</v>
      </c>
      <c r="D11" s="198" t="s">
        <v>107</v>
      </c>
      <c r="E11" s="198"/>
      <c r="F11" s="18"/>
      <c r="J11" s="1"/>
    </row>
    <row r="12" spans="1:10" ht="15" customHeight="1" x14ac:dyDescent="0.25">
      <c r="A12" s="190"/>
      <c r="B12" s="135" t="s">
        <v>162</v>
      </c>
      <c r="C12" s="46" t="s">
        <v>160</v>
      </c>
      <c r="D12" s="198" t="s">
        <v>107</v>
      </c>
      <c r="E12" s="198"/>
      <c r="F12" s="18"/>
      <c r="J12" s="1"/>
    </row>
    <row r="13" spans="1:10" ht="15" customHeight="1" x14ac:dyDescent="0.25">
      <c r="A13" s="190"/>
      <c r="B13" s="135" t="s">
        <v>162</v>
      </c>
      <c r="C13" s="46" t="s">
        <v>228</v>
      </c>
      <c r="D13" s="198" t="s">
        <v>107</v>
      </c>
      <c r="E13" s="198"/>
      <c r="F13" s="18"/>
      <c r="J13" s="1"/>
    </row>
    <row r="14" spans="1:10" x14ac:dyDescent="0.25">
      <c r="A14" s="190"/>
      <c r="B14" s="135" t="s">
        <v>162</v>
      </c>
      <c r="C14" s="46" t="s">
        <v>161</v>
      </c>
      <c r="D14" s="193" t="s">
        <v>104</v>
      </c>
      <c r="E14" s="193"/>
      <c r="F14" s="18"/>
      <c r="J14" s="1"/>
    </row>
    <row r="15" spans="1:10" x14ac:dyDescent="0.25">
      <c r="A15" s="190"/>
      <c r="B15" s="12"/>
      <c r="C15" s="12"/>
      <c r="D15" s="12"/>
      <c r="E15" s="12"/>
      <c r="F15" s="18"/>
      <c r="J15" s="1"/>
    </row>
    <row r="16" spans="1:10" x14ac:dyDescent="0.25">
      <c r="A16" s="190"/>
      <c r="B16" s="188" t="s">
        <v>233</v>
      </c>
      <c r="C16" s="188"/>
      <c r="D16" s="188"/>
      <c r="E16" s="188"/>
      <c r="F16" s="188"/>
      <c r="J16" s="1"/>
    </row>
    <row r="17" spans="1:6" x14ac:dyDescent="0.25">
      <c r="A17" s="190"/>
      <c r="B17" s="45" t="s">
        <v>106</v>
      </c>
      <c r="C17" s="137" t="s">
        <v>95</v>
      </c>
      <c r="D17" s="48" t="s">
        <v>114</v>
      </c>
      <c r="E17" s="12"/>
      <c r="F17" s="18"/>
    </row>
    <row r="18" spans="1:6" x14ac:dyDescent="0.25">
      <c r="A18" s="190"/>
      <c r="B18" s="12"/>
      <c r="C18" s="22" t="s">
        <v>96</v>
      </c>
      <c r="D18" s="48" t="s">
        <v>115</v>
      </c>
      <c r="E18" s="12"/>
      <c r="F18" s="18"/>
    </row>
    <row r="19" spans="1:6" x14ac:dyDescent="0.25">
      <c r="A19" s="190"/>
      <c r="B19" s="12"/>
      <c r="C19" s="23" t="s">
        <v>108</v>
      </c>
      <c r="D19" s="48" t="s">
        <v>117</v>
      </c>
      <c r="E19" s="12"/>
      <c r="F19" s="18"/>
    </row>
    <row r="20" spans="1:6" x14ac:dyDescent="0.25">
      <c r="A20" s="190"/>
      <c r="B20" s="12"/>
      <c r="C20" s="11" t="s">
        <v>105</v>
      </c>
      <c r="D20" s="48" t="s">
        <v>116</v>
      </c>
      <c r="E20" s="12"/>
      <c r="F20" s="18"/>
    </row>
    <row r="21" spans="1:6" x14ac:dyDescent="0.25">
      <c r="A21" s="190"/>
      <c r="B21" s="14"/>
      <c r="C21" s="14"/>
      <c r="D21" s="14"/>
      <c r="E21" s="14"/>
      <c r="F21" s="19"/>
    </row>
    <row r="22" spans="1:6" s="3" customFormat="1" ht="15.75" x14ac:dyDescent="0.25">
      <c r="A22" s="190"/>
      <c r="B22" s="196" t="s">
        <v>113</v>
      </c>
      <c r="C22" s="196"/>
      <c r="D22" s="196"/>
      <c r="E22" s="196"/>
      <c r="F22" s="20"/>
    </row>
    <row r="23" spans="1:6" ht="28.5" customHeight="1" x14ac:dyDescent="0.25">
      <c r="A23" s="190"/>
      <c r="B23" s="197" t="s">
        <v>163</v>
      </c>
      <c r="C23" s="197"/>
      <c r="D23" s="197"/>
      <c r="E23" s="197"/>
      <c r="F23" s="21"/>
    </row>
    <row r="24" spans="1:6" x14ac:dyDescent="0.25">
      <c r="A24" s="190"/>
      <c r="B24" s="12"/>
      <c r="C24" s="12"/>
      <c r="D24" s="12"/>
      <c r="E24" s="12"/>
      <c r="F24" s="21"/>
    </row>
    <row r="25" spans="1:6" x14ac:dyDescent="0.25">
      <c r="A25" s="190"/>
      <c r="B25" s="12" t="s">
        <v>9</v>
      </c>
      <c r="C25" s="194"/>
      <c r="D25" s="194"/>
      <c r="F25" s="21"/>
    </row>
    <row r="26" spans="1:6" x14ac:dyDescent="0.25">
      <c r="A26" s="190"/>
      <c r="B26" s="12"/>
      <c r="C26" s="12"/>
      <c r="D26" s="12"/>
      <c r="E26" s="12"/>
      <c r="F26" s="21"/>
    </row>
    <row r="27" spans="1:6" x14ac:dyDescent="0.25">
      <c r="A27" s="190"/>
      <c r="C27" s="136" t="s">
        <v>129</v>
      </c>
      <c r="F27" s="21"/>
    </row>
    <row r="28" spans="1:6" x14ac:dyDescent="0.25">
      <c r="A28" s="190"/>
      <c r="F28" s="21"/>
    </row>
    <row r="29" spans="1:6" ht="16.5" x14ac:dyDescent="0.25">
      <c r="A29" s="190"/>
      <c r="B29" s="195" t="e">
        <f>CONCATENATE("Please continue to ",VLOOKUP(C25,C45:D52,2, FALSE))</f>
        <v>#N/A</v>
      </c>
      <c r="C29" s="195"/>
      <c r="D29" s="195"/>
      <c r="E29" s="195"/>
      <c r="F29" s="21"/>
    </row>
    <row r="30" spans="1:6" x14ac:dyDescent="0.25">
      <c r="A30" s="190"/>
      <c r="F30" s="21"/>
    </row>
    <row r="31" spans="1:6" hidden="1" x14ac:dyDescent="0.25">
      <c r="A31" s="190"/>
      <c r="F31" s="21"/>
    </row>
    <row r="32" spans="1:6" hidden="1" x14ac:dyDescent="0.25">
      <c r="A32" s="190"/>
      <c r="F32" s="21"/>
    </row>
    <row r="33" spans="1:6" hidden="1" x14ac:dyDescent="0.25">
      <c r="A33" s="190"/>
      <c r="F33" s="21"/>
    </row>
    <row r="34" spans="1:6" hidden="1" x14ac:dyDescent="0.25">
      <c r="A34" s="190"/>
      <c r="F34" s="21"/>
    </row>
    <row r="35" spans="1:6" hidden="1" x14ac:dyDescent="0.25">
      <c r="A35" s="190"/>
      <c r="F35" s="21"/>
    </row>
    <row r="36" spans="1:6" hidden="1" x14ac:dyDescent="0.25">
      <c r="A36" s="190"/>
      <c r="F36" s="21"/>
    </row>
    <row r="37" spans="1:6" hidden="1" x14ac:dyDescent="0.25">
      <c r="A37" s="190"/>
      <c r="F37" s="21"/>
    </row>
    <row r="38" spans="1:6" hidden="1" x14ac:dyDescent="0.25">
      <c r="A38" s="190"/>
      <c r="F38" s="21"/>
    </row>
    <row r="39" spans="1:6" hidden="1" x14ac:dyDescent="0.25">
      <c r="A39" s="190"/>
      <c r="F39" s="21"/>
    </row>
    <row r="40" spans="1:6" hidden="1" x14ac:dyDescent="0.25">
      <c r="A40" s="190"/>
      <c r="B40" s="10"/>
      <c r="C40" s="9"/>
      <c r="D40" s="9"/>
      <c r="E40" s="10"/>
      <c r="F40" s="21"/>
    </row>
    <row r="41" spans="1:6" ht="15" hidden="1" customHeight="1" x14ac:dyDescent="0.25">
      <c r="A41" s="190"/>
      <c r="B41" s="10"/>
      <c r="C41" s="9"/>
      <c r="D41" s="9"/>
      <c r="E41" s="10"/>
      <c r="F41" s="21"/>
    </row>
    <row r="42" spans="1:6" ht="15" hidden="1" customHeight="1" x14ac:dyDescent="0.25">
      <c r="A42" s="190"/>
      <c r="B42" s="7"/>
      <c r="E42" s="7"/>
    </row>
    <row r="43" spans="1:6" ht="15" hidden="1" customHeight="1" x14ac:dyDescent="0.25">
      <c r="A43" s="190"/>
    </row>
    <row r="44" spans="1:6" ht="15" hidden="1" customHeight="1" x14ac:dyDescent="0.25">
      <c r="A44" s="190"/>
    </row>
    <row r="45" spans="1:6" ht="15" hidden="1" customHeight="1" x14ac:dyDescent="0.25">
      <c r="A45" s="190"/>
      <c r="C45" s="6" t="s">
        <v>10</v>
      </c>
      <c r="D45" s="4" t="s">
        <v>97</v>
      </c>
    </row>
    <row r="46" spans="1:6" ht="15" hidden="1" customHeight="1" x14ac:dyDescent="0.25">
      <c r="A46" s="190"/>
      <c r="C46" s="6" t="s">
        <v>15</v>
      </c>
      <c r="D46" s="4" t="s">
        <v>97</v>
      </c>
    </row>
    <row r="47" spans="1:6" ht="15" hidden="1" customHeight="1" x14ac:dyDescent="0.25">
      <c r="A47" s="190"/>
      <c r="C47" s="6" t="s">
        <v>19</v>
      </c>
      <c r="D47" s="4" t="s">
        <v>98</v>
      </c>
    </row>
    <row r="48" spans="1:6" ht="15" hidden="1" customHeight="1" x14ac:dyDescent="0.25">
      <c r="A48" s="190"/>
      <c r="C48" s="6" t="s">
        <v>21</v>
      </c>
      <c r="D48" s="4" t="s">
        <v>98</v>
      </c>
    </row>
    <row r="49" spans="1:4" ht="15" hidden="1" customHeight="1" x14ac:dyDescent="0.25">
      <c r="A49" s="190"/>
      <c r="C49" s="6" t="s">
        <v>23</v>
      </c>
      <c r="D49" s="4" t="s">
        <v>99</v>
      </c>
    </row>
    <row r="50" spans="1:4" ht="15" hidden="1" customHeight="1" x14ac:dyDescent="0.25">
      <c r="A50" s="190"/>
      <c r="C50" s="6" t="s">
        <v>26</v>
      </c>
      <c r="D50" s="4" t="s">
        <v>99</v>
      </c>
    </row>
    <row r="51" spans="1:4" ht="15" hidden="1" customHeight="1" x14ac:dyDescent="0.25">
      <c r="A51" s="190"/>
      <c r="C51" s="6" t="s">
        <v>29</v>
      </c>
      <c r="D51" s="4" t="s">
        <v>99</v>
      </c>
    </row>
    <row r="52" spans="1:4" ht="15" hidden="1" customHeight="1" x14ac:dyDescent="0.25">
      <c r="A52" s="190"/>
      <c r="C52" s="6" t="s">
        <v>31</v>
      </c>
      <c r="D52" s="4" t="s">
        <v>99</v>
      </c>
    </row>
    <row r="53" spans="1:4" ht="15" hidden="1" customHeight="1" x14ac:dyDescent="0.25">
      <c r="A53" s="190"/>
    </row>
    <row r="54" spans="1:4" ht="15" hidden="1" customHeight="1" x14ac:dyDescent="0.25">
      <c r="A54" s="190"/>
    </row>
    <row r="55" spans="1:4" ht="15" hidden="1" customHeight="1" x14ac:dyDescent="0.25">
      <c r="A55" s="190"/>
    </row>
    <row r="56" spans="1:4" ht="15" hidden="1" customHeight="1" x14ac:dyDescent="0.25">
      <c r="A56" s="190"/>
    </row>
    <row r="57" spans="1:4" ht="15" hidden="1" customHeight="1" x14ac:dyDescent="0.25">
      <c r="A57" s="190"/>
    </row>
    <row r="58" spans="1:4" ht="15" hidden="1" customHeight="1" x14ac:dyDescent="0.25">
      <c r="A58" s="190"/>
    </row>
    <row r="59" spans="1:4" ht="15" hidden="1" customHeight="1" x14ac:dyDescent="0.25">
      <c r="A59" s="190"/>
    </row>
    <row r="60" spans="1:4" ht="15" hidden="1" customHeight="1" x14ac:dyDescent="0.25">
      <c r="A60" s="190"/>
    </row>
    <row r="61" spans="1:4" ht="15" hidden="1" customHeight="1" x14ac:dyDescent="0.25">
      <c r="A61" s="190"/>
    </row>
    <row r="62" spans="1:4" ht="15" hidden="1" customHeight="1" x14ac:dyDescent="0.25">
      <c r="A62" s="190"/>
    </row>
    <row r="63" spans="1:4" ht="15" hidden="1" customHeight="1" x14ac:dyDescent="0.25">
      <c r="A63" s="190"/>
    </row>
    <row r="64" spans="1:4" ht="15" hidden="1" customHeight="1" x14ac:dyDescent="0.25">
      <c r="A64" s="190"/>
    </row>
    <row r="65" spans="1:1" ht="15" hidden="1" customHeight="1" x14ac:dyDescent="0.25">
      <c r="A65" s="190"/>
    </row>
    <row r="66" spans="1:1" ht="15" hidden="1" customHeight="1" x14ac:dyDescent="0.25">
      <c r="A66" s="190"/>
    </row>
    <row r="67" spans="1:1" ht="15" hidden="1" customHeight="1" x14ac:dyDescent="0.25">
      <c r="A67" s="190"/>
    </row>
    <row r="68" spans="1:1" ht="15" hidden="1" customHeight="1" x14ac:dyDescent="0.25">
      <c r="A68" s="190"/>
    </row>
    <row r="69" spans="1:1" ht="15" hidden="1" customHeight="1" x14ac:dyDescent="0.25">
      <c r="A69" s="190"/>
    </row>
    <row r="70" spans="1:1" ht="15" hidden="1" customHeight="1" x14ac:dyDescent="0.25">
      <c r="A70" s="190"/>
    </row>
    <row r="71" spans="1:1" ht="15" hidden="1" customHeight="1" x14ac:dyDescent="0.25">
      <c r="A71" s="190"/>
    </row>
    <row r="72" spans="1:1" ht="15" hidden="1" customHeight="1" x14ac:dyDescent="0.25">
      <c r="A72" s="190"/>
    </row>
    <row r="73" spans="1:1" ht="15" hidden="1" customHeight="1" x14ac:dyDescent="0.25">
      <c r="A73" s="190"/>
    </row>
    <row r="74" spans="1:1" ht="15" hidden="1" customHeight="1" x14ac:dyDescent="0.25">
      <c r="A74" s="190"/>
    </row>
    <row r="75" spans="1:1" ht="15" hidden="1" customHeight="1" x14ac:dyDescent="0.25">
      <c r="A75" s="190"/>
    </row>
    <row r="76" spans="1:1" ht="15" hidden="1" customHeight="1" x14ac:dyDescent="0.25">
      <c r="A76" s="190"/>
    </row>
    <row r="77" spans="1:1" ht="15" hidden="1" customHeight="1" x14ac:dyDescent="0.25">
      <c r="A77" s="190"/>
    </row>
    <row r="78" spans="1:1" ht="15" hidden="1" customHeight="1" x14ac:dyDescent="0.25">
      <c r="A78" s="190"/>
    </row>
    <row r="79" spans="1:1" ht="15" hidden="1" customHeight="1" x14ac:dyDescent="0.25">
      <c r="A79" s="190"/>
    </row>
    <row r="80" spans="1:1" ht="15" hidden="1" customHeight="1" x14ac:dyDescent="0.25">
      <c r="A80" s="190"/>
    </row>
    <row r="81" spans="1:1" ht="15" hidden="1" customHeight="1" x14ac:dyDescent="0.25">
      <c r="A81" s="190"/>
    </row>
    <row r="82" spans="1:1" ht="15" hidden="1" customHeight="1" x14ac:dyDescent="0.25">
      <c r="A82" s="190"/>
    </row>
    <row r="83" spans="1:1" ht="15" hidden="1" customHeight="1" x14ac:dyDescent="0.25">
      <c r="A83" s="190"/>
    </row>
    <row r="84" spans="1:1" ht="15" hidden="1" customHeight="1" x14ac:dyDescent="0.25">
      <c r="A84" s="190"/>
    </row>
    <row r="85" spans="1:1" ht="15" hidden="1" customHeight="1" x14ac:dyDescent="0.25">
      <c r="A85" s="190"/>
    </row>
    <row r="86" spans="1:1" ht="15" hidden="1" customHeight="1" x14ac:dyDescent="0.25">
      <c r="A86" s="190"/>
    </row>
    <row r="87" spans="1:1" ht="15" hidden="1" customHeight="1" x14ac:dyDescent="0.25">
      <c r="A87" s="190"/>
    </row>
    <row r="88" spans="1:1" ht="15" hidden="1" customHeight="1" x14ac:dyDescent="0.25">
      <c r="A88" s="190"/>
    </row>
    <row r="89" spans="1:1" ht="15" hidden="1" customHeight="1" x14ac:dyDescent="0.25">
      <c r="A89" s="190"/>
    </row>
    <row r="90" spans="1:1" ht="15" hidden="1" customHeight="1" x14ac:dyDescent="0.25">
      <c r="A90" s="190"/>
    </row>
    <row r="91" spans="1:1" ht="15" hidden="1" customHeight="1" x14ac:dyDescent="0.25">
      <c r="A91" s="190"/>
    </row>
    <row r="92" spans="1:1" ht="15" hidden="1" customHeight="1" x14ac:dyDescent="0.25">
      <c r="A92" s="190"/>
    </row>
    <row r="93" spans="1:1" ht="15" hidden="1" customHeight="1" x14ac:dyDescent="0.25">
      <c r="A93" s="190"/>
    </row>
    <row r="94" spans="1:1" ht="15" hidden="1" customHeight="1" x14ac:dyDescent="0.25">
      <c r="A94" s="190"/>
    </row>
    <row r="95" spans="1:1" ht="15" hidden="1" customHeight="1" x14ac:dyDescent="0.25">
      <c r="A95" s="190"/>
    </row>
    <row r="96" spans="1:1" ht="15" hidden="1" customHeight="1" x14ac:dyDescent="0.25">
      <c r="A96" s="190"/>
    </row>
    <row r="97" spans="1:1" ht="15" hidden="1" customHeight="1" x14ac:dyDescent="0.25">
      <c r="A97" s="190"/>
    </row>
    <row r="98" spans="1:1" ht="15" hidden="1" customHeight="1" x14ac:dyDescent="0.25">
      <c r="A98" s="190"/>
    </row>
    <row r="99" spans="1:1" ht="15" hidden="1" customHeight="1" x14ac:dyDescent="0.25">
      <c r="A99" s="190"/>
    </row>
    <row r="100" spans="1:1" ht="15" hidden="1" customHeight="1" x14ac:dyDescent="0.25">
      <c r="A100" s="190"/>
    </row>
    <row r="101" spans="1:1" ht="15" hidden="1" customHeight="1" x14ac:dyDescent="0.25">
      <c r="A101" s="190"/>
    </row>
    <row r="102" spans="1:1" ht="15" hidden="1" customHeight="1" x14ac:dyDescent="0.25">
      <c r="A102" s="190"/>
    </row>
    <row r="103" spans="1:1" ht="15" hidden="1" customHeight="1" x14ac:dyDescent="0.25">
      <c r="A103" s="190"/>
    </row>
    <row r="104" spans="1:1" ht="15" hidden="1" customHeight="1" x14ac:dyDescent="0.25">
      <c r="A104" s="190"/>
    </row>
    <row r="105" spans="1:1" ht="15" hidden="1" customHeight="1" x14ac:dyDescent="0.25">
      <c r="A105" s="190"/>
    </row>
    <row r="106" spans="1:1" ht="15" hidden="1" customHeight="1" x14ac:dyDescent="0.25">
      <c r="A106" s="190"/>
    </row>
    <row r="107" spans="1:1" ht="15" hidden="1" customHeight="1" x14ac:dyDescent="0.25">
      <c r="A107" s="190"/>
    </row>
    <row r="108" spans="1:1" ht="15" hidden="1" customHeight="1" x14ac:dyDescent="0.25">
      <c r="A108" s="190"/>
    </row>
    <row r="109" spans="1:1" ht="15" hidden="1" customHeight="1" x14ac:dyDescent="0.25">
      <c r="A109" s="190"/>
    </row>
    <row r="110" spans="1:1" ht="15" hidden="1" customHeight="1" x14ac:dyDescent="0.25">
      <c r="A110" s="190"/>
    </row>
    <row r="111" spans="1:1" ht="15" hidden="1" customHeight="1" x14ac:dyDescent="0.25">
      <c r="A111" s="190"/>
    </row>
    <row r="112" spans="1:1" ht="15" hidden="1" customHeight="1" x14ac:dyDescent="0.25">
      <c r="A112" s="190"/>
    </row>
    <row r="113" spans="1:1" ht="15" hidden="1" customHeight="1" x14ac:dyDescent="0.25">
      <c r="A113" s="190"/>
    </row>
    <row r="114" spans="1:1" ht="15" hidden="1" customHeight="1" x14ac:dyDescent="0.25">
      <c r="A114" s="190"/>
    </row>
    <row r="115" spans="1:1" ht="15" hidden="1" customHeight="1" x14ac:dyDescent="0.25">
      <c r="A115" s="190"/>
    </row>
    <row r="116" spans="1:1" ht="15" hidden="1" customHeight="1" x14ac:dyDescent="0.25">
      <c r="A116" s="190"/>
    </row>
    <row r="117" spans="1:1" ht="15" hidden="1" customHeight="1" x14ac:dyDescent="0.25">
      <c r="A117" s="190"/>
    </row>
    <row r="118" spans="1:1" ht="15" hidden="1" customHeight="1" x14ac:dyDescent="0.25">
      <c r="A118" s="190"/>
    </row>
    <row r="119" spans="1:1" ht="15" hidden="1" customHeight="1" x14ac:dyDescent="0.25">
      <c r="A119" s="190"/>
    </row>
    <row r="120" spans="1:1" ht="15" hidden="1" customHeight="1" x14ac:dyDescent="0.25">
      <c r="A120" s="190"/>
    </row>
    <row r="121" spans="1:1" ht="15" hidden="1" customHeight="1" x14ac:dyDescent="0.25">
      <c r="A121" s="190"/>
    </row>
    <row r="122" spans="1:1" ht="15" hidden="1" customHeight="1" x14ac:dyDescent="0.25">
      <c r="A122" s="190"/>
    </row>
    <row r="123" spans="1:1" ht="15" hidden="1" customHeight="1" x14ac:dyDescent="0.25">
      <c r="A123" s="190"/>
    </row>
    <row r="124" spans="1:1" ht="15" hidden="1" customHeight="1" x14ac:dyDescent="0.25">
      <c r="A124" s="190"/>
    </row>
    <row r="125" spans="1:1" ht="15" hidden="1" customHeight="1" x14ac:dyDescent="0.25">
      <c r="A125" s="190"/>
    </row>
    <row r="126" spans="1:1" ht="15" hidden="1" customHeight="1" x14ac:dyDescent="0.25">
      <c r="A126" s="190"/>
    </row>
    <row r="127" spans="1:1" ht="15" hidden="1" customHeight="1" x14ac:dyDescent="0.25">
      <c r="A127" s="190"/>
    </row>
    <row r="128" spans="1:1" ht="15" hidden="1" customHeight="1" x14ac:dyDescent="0.25">
      <c r="A128" s="190"/>
    </row>
    <row r="129" spans="1:1" ht="15" hidden="1" customHeight="1" x14ac:dyDescent="0.25">
      <c r="A129" s="190"/>
    </row>
    <row r="130" spans="1:1" ht="15" hidden="1" customHeight="1" x14ac:dyDescent="0.25">
      <c r="A130" s="190"/>
    </row>
    <row r="131" spans="1:1" ht="15" hidden="1" customHeight="1" x14ac:dyDescent="0.25">
      <c r="A131" s="190"/>
    </row>
    <row r="132" spans="1:1" ht="15" hidden="1" customHeight="1" x14ac:dyDescent="0.25">
      <c r="A132" s="190"/>
    </row>
    <row r="133" spans="1:1" ht="15" hidden="1" customHeight="1" x14ac:dyDescent="0.25">
      <c r="A133" s="190"/>
    </row>
    <row r="134" spans="1:1" ht="15" hidden="1" customHeight="1" x14ac:dyDescent="0.25">
      <c r="A134" s="190"/>
    </row>
    <row r="135" spans="1:1" ht="15" hidden="1" customHeight="1" x14ac:dyDescent="0.25">
      <c r="A135" s="190"/>
    </row>
    <row r="136" spans="1:1" ht="15" hidden="1" customHeight="1" x14ac:dyDescent="0.25">
      <c r="A136" s="190"/>
    </row>
    <row r="137" spans="1:1" ht="15" hidden="1" customHeight="1" x14ac:dyDescent="0.25">
      <c r="A137" s="190"/>
    </row>
    <row r="138" spans="1:1" ht="15" hidden="1" customHeight="1" x14ac:dyDescent="0.25">
      <c r="A138" s="190"/>
    </row>
    <row r="139" spans="1:1" ht="15" hidden="1" customHeight="1" x14ac:dyDescent="0.25">
      <c r="A139" s="190"/>
    </row>
    <row r="140" spans="1:1" ht="15" hidden="1" customHeight="1" x14ac:dyDescent="0.25">
      <c r="A140" s="190"/>
    </row>
    <row r="141" spans="1:1" ht="15" hidden="1" customHeight="1" x14ac:dyDescent="0.25">
      <c r="A141" s="190"/>
    </row>
    <row r="142" spans="1:1" ht="15" hidden="1" customHeight="1" x14ac:dyDescent="0.25">
      <c r="A142" s="190"/>
    </row>
    <row r="143" spans="1:1" ht="15" hidden="1" customHeight="1" x14ac:dyDescent="0.25">
      <c r="A143" s="190"/>
    </row>
    <row r="144" spans="1:1" ht="15" hidden="1" customHeight="1" x14ac:dyDescent="0.25">
      <c r="A144" s="190"/>
    </row>
    <row r="145" spans="1:1" ht="15" hidden="1" customHeight="1" x14ac:dyDescent="0.25">
      <c r="A145" s="190"/>
    </row>
    <row r="146" spans="1:1" ht="15" hidden="1" customHeight="1" x14ac:dyDescent="0.25">
      <c r="A146" s="190"/>
    </row>
    <row r="147" spans="1:1" ht="15" hidden="1" customHeight="1" x14ac:dyDescent="0.25">
      <c r="A147" s="190"/>
    </row>
    <row r="148" spans="1:1" ht="15" hidden="1" customHeight="1" x14ac:dyDescent="0.25">
      <c r="A148" s="190"/>
    </row>
    <row r="149" spans="1:1" ht="15" hidden="1" customHeight="1" x14ac:dyDescent="0.25">
      <c r="A149" s="190"/>
    </row>
    <row r="150" spans="1:1" ht="15" hidden="1" customHeight="1" x14ac:dyDescent="0.25">
      <c r="A150" s="190"/>
    </row>
    <row r="151" spans="1:1" ht="15" hidden="1" customHeight="1" x14ac:dyDescent="0.25">
      <c r="A151" s="190"/>
    </row>
    <row r="152" spans="1:1" ht="15" hidden="1" customHeight="1" x14ac:dyDescent="0.25">
      <c r="A152" s="190"/>
    </row>
    <row r="153" spans="1:1" ht="15" hidden="1" customHeight="1" x14ac:dyDescent="0.25">
      <c r="A153" s="190"/>
    </row>
    <row r="154" spans="1:1" ht="15" hidden="1" customHeight="1" x14ac:dyDescent="0.25">
      <c r="A154" s="190"/>
    </row>
    <row r="155" spans="1:1" ht="15" hidden="1" customHeight="1" x14ac:dyDescent="0.25">
      <c r="A155" s="190"/>
    </row>
    <row r="156" spans="1:1" ht="15" hidden="1" customHeight="1" x14ac:dyDescent="0.25">
      <c r="A156" s="190"/>
    </row>
    <row r="157" spans="1:1" ht="15" hidden="1" customHeight="1" x14ac:dyDescent="0.25">
      <c r="A157" s="190"/>
    </row>
    <row r="158" spans="1:1" ht="15" hidden="1" customHeight="1" x14ac:dyDescent="0.25">
      <c r="A158" s="190"/>
    </row>
    <row r="159" spans="1:1" ht="15" hidden="1" customHeight="1" x14ac:dyDescent="0.25">
      <c r="A159" s="190"/>
    </row>
    <row r="160" spans="1:1" ht="15" hidden="1" customHeight="1" x14ac:dyDescent="0.25">
      <c r="A160" s="190"/>
    </row>
    <row r="161" spans="1:1" ht="15" hidden="1" customHeight="1" x14ac:dyDescent="0.25">
      <c r="A161" s="190"/>
    </row>
    <row r="162" spans="1:1" ht="15" hidden="1" customHeight="1" x14ac:dyDescent="0.25">
      <c r="A162" s="190"/>
    </row>
    <row r="163" spans="1:1" ht="15" hidden="1" customHeight="1" x14ac:dyDescent="0.25">
      <c r="A163" s="190"/>
    </row>
    <row r="164" spans="1:1" ht="15" hidden="1" customHeight="1" x14ac:dyDescent="0.25">
      <c r="A164" s="190"/>
    </row>
    <row r="165" spans="1:1" ht="15" hidden="1" customHeight="1" x14ac:dyDescent="0.25">
      <c r="A165" s="190"/>
    </row>
    <row r="166" spans="1:1" ht="15" hidden="1" customHeight="1" x14ac:dyDescent="0.25">
      <c r="A166" s="190"/>
    </row>
    <row r="167" spans="1:1" ht="15" hidden="1" customHeight="1" x14ac:dyDescent="0.25">
      <c r="A167" s="190"/>
    </row>
    <row r="168" spans="1:1" ht="15" hidden="1" customHeight="1" x14ac:dyDescent="0.25">
      <c r="A168" s="190"/>
    </row>
    <row r="169" spans="1:1" ht="15" hidden="1" customHeight="1" x14ac:dyDescent="0.25">
      <c r="A169" s="190"/>
    </row>
    <row r="170" spans="1:1" ht="15" hidden="1" customHeight="1" x14ac:dyDescent="0.25">
      <c r="A170" s="190"/>
    </row>
    <row r="171" spans="1:1" ht="15" hidden="1" customHeight="1" x14ac:dyDescent="0.25">
      <c r="A171" s="190"/>
    </row>
    <row r="172" spans="1:1" ht="15" hidden="1" customHeight="1" x14ac:dyDescent="0.25">
      <c r="A172" s="190"/>
    </row>
    <row r="173" spans="1:1" ht="15" hidden="1" customHeight="1" x14ac:dyDescent="0.25">
      <c r="A173" s="190"/>
    </row>
    <row r="174" spans="1:1" ht="15" hidden="1" customHeight="1" x14ac:dyDescent="0.25">
      <c r="A174" s="190"/>
    </row>
    <row r="175" spans="1:1" ht="15" hidden="1" customHeight="1" x14ac:dyDescent="0.25">
      <c r="A175" s="190"/>
    </row>
    <row r="176" spans="1:1" ht="15" hidden="1" customHeight="1" x14ac:dyDescent="0.25">
      <c r="A176" s="190"/>
    </row>
    <row r="177" spans="1:1" ht="15" hidden="1" customHeight="1" x14ac:dyDescent="0.25">
      <c r="A177" s="190"/>
    </row>
    <row r="178" spans="1:1" ht="15" hidden="1" customHeight="1" x14ac:dyDescent="0.25">
      <c r="A178" s="190"/>
    </row>
    <row r="179" spans="1:1" ht="15" hidden="1" customHeight="1" x14ac:dyDescent="0.25">
      <c r="A179" s="190"/>
    </row>
    <row r="180" spans="1:1" ht="15" hidden="1" customHeight="1" x14ac:dyDescent="0.25">
      <c r="A180" s="190"/>
    </row>
    <row r="181" spans="1:1" ht="15" hidden="1" customHeight="1" x14ac:dyDescent="0.25">
      <c r="A181" s="190"/>
    </row>
    <row r="182" spans="1:1" ht="15" hidden="1" customHeight="1" x14ac:dyDescent="0.25">
      <c r="A182" s="190"/>
    </row>
    <row r="183" spans="1:1" ht="15" hidden="1" customHeight="1" x14ac:dyDescent="0.25">
      <c r="A183" s="190"/>
    </row>
    <row r="184" spans="1:1" ht="15" hidden="1" customHeight="1" x14ac:dyDescent="0.25">
      <c r="A184" s="190"/>
    </row>
    <row r="185" spans="1:1" ht="15" hidden="1" customHeight="1" x14ac:dyDescent="0.25">
      <c r="A185" s="190"/>
    </row>
    <row r="186" spans="1:1" ht="15" hidden="1" customHeight="1" x14ac:dyDescent="0.25">
      <c r="A186" s="190"/>
    </row>
    <row r="187" spans="1:1" ht="15" hidden="1" customHeight="1" x14ac:dyDescent="0.25">
      <c r="A187" s="190"/>
    </row>
    <row r="188" spans="1:1" ht="15" hidden="1" customHeight="1" x14ac:dyDescent="0.25">
      <c r="A188" s="190"/>
    </row>
    <row r="189" spans="1:1" ht="15" hidden="1" customHeight="1" x14ac:dyDescent="0.25">
      <c r="A189" s="190"/>
    </row>
    <row r="190" spans="1:1" ht="15" hidden="1" customHeight="1" x14ac:dyDescent="0.25">
      <c r="A190" s="190"/>
    </row>
    <row r="191" spans="1:1" ht="15" hidden="1" customHeight="1" x14ac:dyDescent="0.25">
      <c r="A191" s="190"/>
    </row>
    <row r="192" spans="1:1" ht="15" hidden="1" customHeight="1" x14ac:dyDescent="0.25">
      <c r="A192" s="190"/>
    </row>
    <row r="193" spans="1:1" ht="15" hidden="1" customHeight="1" x14ac:dyDescent="0.25">
      <c r="A193" s="190"/>
    </row>
    <row r="194" spans="1:1" ht="15" hidden="1" customHeight="1" x14ac:dyDescent="0.25">
      <c r="A194" s="190"/>
    </row>
    <row r="195" spans="1:1" ht="15" hidden="1" customHeight="1" x14ac:dyDescent="0.25">
      <c r="A195" s="190"/>
    </row>
    <row r="196" spans="1:1" ht="15" hidden="1" customHeight="1" x14ac:dyDescent="0.25">
      <c r="A196" s="190"/>
    </row>
    <row r="197" spans="1:1" ht="15" hidden="1" customHeight="1" x14ac:dyDescent="0.25">
      <c r="A197" s="190"/>
    </row>
    <row r="198" spans="1:1" ht="15" hidden="1" customHeight="1" x14ac:dyDescent="0.25">
      <c r="A198" s="190"/>
    </row>
    <row r="199" spans="1:1" ht="15" hidden="1" customHeight="1" x14ac:dyDescent="0.25">
      <c r="A199" s="190"/>
    </row>
    <row r="200" spans="1:1" ht="15" hidden="1" customHeight="1" x14ac:dyDescent="0.25">
      <c r="A200" s="190"/>
    </row>
    <row r="201" spans="1:1" ht="15" hidden="1" customHeight="1" x14ac:dyDescent="0.25">
      <c r="A201" s="190"/>
    </row>
    <row r="202" spans="1:1" ht="15" hidden="1" customHeight="1" x14ac:dyDescent="0.25">
      <c r="A202" s="190"/>
    </row>
    <row r="203" spans="1:1" ht="15" hidden="1" customHeight="1" x14ac:dyDescent="0.25">
      <c r="A203" s="190"/>
    </row>
    <row r="204" spans="1:1" ht="15" hidden="1" customHeight="1" x14ac:dyDescent="0.25">
      <c r="A204" s="190"/>
    </row>
    <row r="205" spans="1:1" ht="15" hidden="1" customHeight="1" x14ac:dyDescent="0.25">
      <c r="A205" s="190"/>
    </row>
    <row r="206" spans="1:1" ht="15" hidden="1" customHeight="1" x14ac:dyDescent="0.25">
      <c r="A206" s="190"/>
    </row>
    <row r="207" spans="1:1" ht="15" hidden="1" customHeight="1" x14ac:dyDescent="0.25">
      <c r="A207" s="190"/>
    </row>
    <row r="208" spans="1:1" ht="15" hidden="1" customHeight="1" x14ac:dyDescent="0.25">
      <c r="A208" s="190"/>
    </row>
    <row r="209" spans="1:1" ht="15" hidden="1" customHeight="1" x14ac:dyDescent="0.25">
      <c r="A209" s="190"/>
    </row>
    <row r="210" spans="1:1" ht="15" hidden="1" customHeight="1" x14ac:dyDescent="0.25">
      <c r="A210" s="190"/>
    </row>
    <row r="211" spans="1:1" ht="15" hidden="1" customHeight="1" x14ac:dyDescent="0.25">
      <c r="A211" s="190"/>
    </row>
    <row r="212" spans="1:1" ht="15" hidden="1" customHeight="1" x14ac:dyDescent="0.25">
      <c r="A212" s="190"/>
    </row>
    <row r="213" spans="1:1" ht="15" hidden="1" customHeight="1" x14ac:dyDescent="0.25">
      <c r="A213" s="190"/>
    </row>
    <row r="214" spans="1:1" ht="15" hidden="1" customHeight="1" x14ac:dyDescent="0.25">
      <c r="A214" s="190"/>
    </row>
    <row r="215" spans="1:1" ht="15" hidden="1" customHeight="1" x14ac:dyDescent="0.25">
      <c r="A215" s="190"/>
    </row>
    <row r="216" spans="1:1" ht="15" hidden="1" customHeight="1" x14ac:dyDescent="0.25">
      <c r="A216" s="190"/>
    </row>
    <row r="217" spans="1:1" ht="15" hidden="1" customHeight="1" x14ac:dyDescent="0.25">
      <c r="A217" s="190"/>
    </row>
    <row r="218" spans="1:1" ht="15" hidden="1" customHeight="1" x14ac:dyDescent="0.25">
      <c r="A218" s="190"/>
    </row>
    <row r="219" spans="1:1" ht="15" hidden="1" customHeight="1" x14ac:dyDescent="0.25">
      <c r="A219" s="190"/>
    </row>
    <row r="220" spans="1:1" ht="15" hidden="1" customHeight="1" x14ac:dyDescent="0.25">
      <c r="A220" s="190"/>
    </row>
    <row r="221" spans="1:1" ht="15" hidden="1" customHeight="1" x14ac:dyDescent="0.25">
      <c r="A221" s="190"/>
    </row>
    <row r="222" spans="1:1" ht="15" hidden="1" customHeight="1" x14ac:dyDescent="0.25">
      <c r="A222" s="190"/>
    </row>
    <row r="223" spans="1:1" ht="15" hidden="1" customHeight="1" x14ac:dyDescent="0.25">
      <c r="A223" s="190"/>
    </row>
    <row r="224" spans="1:1" ht="15" hidden="1" customHeight="1" x14ac:dyDescent="0.25">
      <c r="A224" s="190"/>
    </row>
    <row r="225" spans="1:1" ht="15" hidden="1" customHeight="1" x14ac:dyDescent="0.25">
      <c r="A225" s="190"/>
    </row>
    <row r="226" spans="1:1" ht="15" hidden="1" customHeight="1" x14ac:dyDescent="0.25">
      <c r="A226" s="190"/>
    </row>
    <row r="227" spans="1:1" ht="15" hidden="1" customHeight="1" x14ac:dyDescent="0.25">
      <c r="A227" s="190"/>
    </row>
    <row r="228" spans="1:1" ht="15" hidden="1" customHeight="1" x14ac:dyDescent="0.25">
      <c r="A228" s="190"/>
    </row>
    <row r="229" spans="1:1" ht="15" hidden="1" customHeight="1" x14ac:dyDescent="0.25">
      <c r="A229" s="190"/>
    </row>
    <row r="230" spans="1:1" ht="15" hidden="1" customHeight="1" x14ac:dyDescent="0.25">
      <c r="A230" s="190"/>
    </row>
    <row r="231" spans="1:1" ht="15" hidden="1" customHeight="1" x14ac:dyDescent="0.25">
      <c r="A231" s="190"/>
    </row>
    <row r="232" spans="1:1" ht="15" hidden="1" customHeight="1" x14ac:dyDescent="0.25">
      <c r="A232" s="190"/>
    </row>
    <row r="233" spans="1:1" ht="15" hidden="1" customHeight="1" x14ac:dyDescent="0.25">
      <c r="A233" s="190"/>
    </row>
    <row r="234" spans="1:1" ht="15" hidden="1" customHeight="1" x14ac:dyDescent="0.25">
      <c r="A234" s="190"/>
    </row>
    <row r="235" spans="1:1" ht="15" hidden="1" customHeight="1" x14ac:dyDescent="0.25">
      <c r="A235" s="190"/>
    </row>
    <row r="236" spans="1:1" ht="15" hidden="1" customHeight="1" x14ac:dyDescent="0.25">
      <c r="A236" s="190"/>
    </row>
    <row r="237" spans="1:1" ht="15" hidden="1" customHeight="1" x14ac:dyDescent="0.25">
      <c r="A237" s="190"/>
    </row>
    <row r="238" spans="1:1" ht="15" hidden="1" customHeight="1" x14ac:dyDescent="0.25">
      <c r="A238" s="190"/>
    </row>
    <row r="239" spans="1:1" ht="15" hidden="1" customHeight="1" x14ac:dyDescent="0.25">
      <c r="A239" s="190"/>
    </row>
    <row r="240" spans="1:1" ht="15" hidden="1" customHeight="1" x14ac:dyDescent="0.25">
      <c r="A240" s="190"/>
    </row>
    <row r="241" spans="1:1" ht="15" hidden="1" customHeight="1" x14ac:dyDescent="0.25">
      <c r="A241" s="190"/>
    </row>
    <row r="242" spans="1:1" ht="15" hidden="1" customHeight="1" x14ac:dyDescent="0.25">
      <c r="A242" s="190"/>
    </row>
    <row r="243" spans="1:1" ht="15" hidden="1" customHeight="1" x14ac:dyDescent="0.25">
      <c r="A243" s="190"/>
    </row>
    <row r="244" spans="1:1" ht="15" hidden="1" customHeight="1" x14ac:dyDescent="0.25">
      <c r="A244" s="190"/>
    </row>
    <row r="245" spans="1:1" ht="15" hidden="1" customHeight="1" x14ac:dyDescent="0.25">
      <c r="A245" s="190"/>
    </row>
    <row r="246" spans="1:1" ht="15" hidden="1" customHeight="1" x14ac:dyDescent="0.25">
      <c r="A246" s="190"/>
    </row>
    <row r="247" spans="1:1" ht="15" hidden="1" customHeight="1" x14ac:dyDescent="0.25">
      <c r="A247" s="190"/>
    </row>
    <row r="248" spans="1:1" ht="15" hidden="1" customHeight="1" x14ac:dyDescent="0.25">
      <c r="A248" s="190"/>
    </row>
    <row r="249" spans="1:1" ht="15" hidden="1" customHeight="1" x14ac:dyDescent="0.25">
      <c r="A249" s="190"/>
    </row>
    <row r="250" spans="1:1" ht="15" hidden="1" customHeight="1" x14ac:dyDescent="0.25">
      <c r="A250" s="190"/>
    </row>
    <row r="251" spans="1:1" ht="15" hidden="1" customHeight="1" x14ac:dyDescent="0.25">
      <c r="A251" s="190"/>
    </row>
    <row r="252" spans="1:1" ht="15" hidden="1" customHeight="1" x14ac:dyDescent="0.25">
      <c r="A252" s="190"/>
    </row>
    <row r="253" spans="1:1" ht="15" hidden="1" customHeight="1" x14ac:dyDescent="0.25">
      <c r="A253" s="190"/>
    </row>
    <row r="254" spans="1:1" ht="15" hidden="1" customHeight="1" x14ac:dyDescent="0.25">
      <c r="A254" s="190"/>
    </row>
    <row r="255" spans="1:1" ht="15" hidden="1" customHeight="1" x14ac:dyDescent="0.25">
      <c r="A255" s="190"/>
    </row>
    <row r="256" spans="1:1" ht="15" hidden="1" customHeight="1" x14ac:dyDescent="0.25">
      <c r="A256" s="190"/>
    </row>
    <row r="257" spans="1:1" ht="15" hidden="1" customHeight="1" x14ac:dyDescent="0.25">
      <c r="A257" s="190"/>
    </row>
    <row r="258" spans="1:1" ht="15" hidden="1" customHeight="1" x14ac:dyDescent="0.25">
      <c r="A258" s="190"/>
    </row>
    <row r="259" spans="1:1" ht="15" hidden="1" customHeight="1" x14ac:dyDescent="0.25">
      <c r="A259" s="190"/>
    </row>
    <row r="260" spans="1:1" ht="15" hidden="1" customHeight="1" x14ac:dyDescent="0.25">
      <c r="A260" s="190"/>
    </row>
    <row r="261" spans="1:1" ht="15" hidden="1" customHeight="1" x14ac:dyDescent="0.25">
      <c r="A261" s="190"/>
    </row>
    <row r="262" spans="1:1" ht="15" hidden="1" customHeight="1" x14ac:dyDescent="0.25">
      <c r="A262" s="190"/>
    </row>
    <row r="263" spans="1:1" ht="15" hidden="1" customHeight="1" x14ac:dyDescent="0.25">
      <c r="A263" s="190"/>
    </row>
    <row r="264" spans="1:1" ht="15" hidden="1" customHeight="1" x14ac:dyDescent="0.25">
      <c r="A264" s="190"/>
    </row>
    <row r="265" spans="1:1" ht="15" hidden="1" customHeight="1" x14ac:dyDescent="0.25">
      <c r="A265" s="190"/>
    </row>
    <row r="266" spans="1:1" ht="15" hidden="1" customHeight="1" x14ac:dyDescent="0.25">
      <c r="A266" s="190"/>
    </row>
    <row r="267" spans="1:1" ht="15" hidden="1" customHeight="1" x14ac:dyDescent="0.25">
      <c r="A267" s="190"/>
    </row>
    <row r="268" spans="1:1" ht="15" hidden="1" customHeight="1" x14ac:dyDescent="0.25">
      <c r="A268" s="190"/>
    </row>
    <row r="269" spans="1:1" ht="15" hidden="1" customHeight="1" x14ac:dyDescent="0.25">
      <c r="A269" s="190"/>
    </row>
    <row r="270" spans="1:1" ht="15" hidden="1" customHeight="1" x14ac:dyDescent="0.25">
      <c r="A270" s="190"/>
    </row>
    <row r="271" spans="1:1" ht="15" hidden="1" customHeight="1" x14ac:dyDescent="0.25">
      <c r="A271" s="190"/>
    </row>
    <row r="272" spans="1:1" ht="15" hidden="1" customHeight="1" x14ac:dyDescent="0.25">
      <c r="A272" s="190"/>
    </row>
    <row r="273" spans="1:1" ht="15" hidden="1" customHeight="1" x14ac:dyDescent="0.25">
      <c r="A273" s="190"/>
    </row>
    <row r="274" spans="1:1" ht="15" hidden="1" customHeight="1" x14ac:dyDescent="0.25">
      <c r="A274" s="190"/>
    </row>
    <row r="275" spans="1:1" ht="15" hidden="1" customHeight="1" x14ac:dyDescent="0.25">
      <c r="A275" s="190"/>
    </row>
    <row r="276" spans="1:1" hidden="1" x14ac:dyDescent="0.25"/>
    <row r="277" spans="1:1" hidden="1" x14ac:dyDescent="0.25"/>
    <row r="278" spans="1:1" hidden="1" x14ac:dyDescent="0.25"/>
    <row r="279" spans="1:1" hidden="1" x14ac:dyDescent="0.25"/>
  </sheetData>
  <sheetProtection sheet="1" objects="1" scenarios="1"/>
  <mergeCells count="16">
    <mergeCell ref="B16:F16"/>
    <mergeCell ref="A2:A275"/>
    <mergeCell ref="A1:E1"/>
    <mergeCell ref="B2:E2"/>
    <mergeCell ref="D14:E14"/>
    <mergeCell ref="C25:D25"/>
    <mergeCell ref="B29:E29"/>
    <mergeCell ref="B22:E22"/>
    <mergeCell ref="B23:E23"/>
    <mergeCell ref="D9:E9"/>
    <mergeCell ref="D10:E10"/>
    <mergeCell ref="D11:E11"/>
    <mergeCell ref="D12:E12"/>
    <mergeCell ref="B3:E3"/>
    <mergeCell ref="B8:E8"/>
    <mergeCell ref="D13:E13"/>
  </mergeCells>
  <dataValidations count="1">
    <dataValidation type="list" allowBlank="1" showInputMessage="1" showErrorMessage="1" sqref="C25">
      <formula1>$C$45:$C$52</formula1>
    </dataValidation>
  </dataValidations>
  <hyperlinks>
    <hyperlink ref="C27" location="Resources!B3" display="Link to G3.1.1A &amp; B"/>
  </hyperlink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52"/>
  <sheetViews>
    <sheetView zoomScaleNormal="100" workbookViewId="0">
      <selection activeCell="B11" sqref="B11:F11"/>
    </sheetView>
  </sheetViews>
  <sheetFormatPr defaultColWidth="0" defaultRowHeight="15" zeroHeight="1" x14ac:dyDescent="0.25"/>
  <cols>
    <col min="1" max="1" width="6.5703125" style="2" customWidth="1"/>
    <col min="2" max="2" width="24.140625" customWidth="1"/>
    <col min="3" max="3" width="13.85546875" customWidth="1"/>
    <col min="4" max="4" width="24.85546875" customWidth="1"/>
    <col min="5" max="5" width="14" customWidth="1"/>
    <col min="6" max="6" width="6.85546875" customWidth="1"/>
    <col min="7" max="8" width="9.140625" hidden="1" customWidth="1"/>
    <col min="9" max="9" width="22.28515625" hidden="1" customWidth="1"/>
    <col min="10" max="16384" width="9.140625" hidden="1"/>
  </cols>
  <sheetData>
    <row r="1" spans="1:6" s="81" customFormat="1" ht="21" customHeight="1" x14ac:dyDescent="0.3">
      <c r="A1" s="203" t="s">
        <v>134</v>
      </c>
      <c r="B1" s="203"/>
      <c r="C1" s="203"/>
      <c r="D1" s="203"/>
      <c r="E1" s="203"/>
      <c r="F1" s="203"/>
    </row>
    <row r="2" spans="1:6" x14ac:dyDescent="0.25">
      <c r="A2" s="190" t="s">
        <v>110</v>
      </c>
      <c r="B2" s="204" t="e">
        <f>IF(Intro!B29="Please continue to tab 1) Systems 1 &amp; 2", "INTRODUCTION", Intro!B29)</f>
        <v>#N/A</v>
      </c>
      <c r="C2" s="204"/>
      <c r="D2" s="204"/>
      <c r="E2" s="204"/>
      <c r="F2" s="204"/>
    </row>
    <row r="3" spans="1:6" ht="30" customHeight="1" x14ac:dyDescent="0.25">
      <c r="A3" s="190"/>
      <c r="B3" s="199" t="s">
        <v>135</v>
      </c>
      <c r="C3" s="199"/>
      <c r="D3" s="199"/>
      <c r="E3" s="199"/>
      <c r="F3" s="205"/>
    </row>
    <row r="4" spans="1:6" ht="15" customHeight="1" x14ac:dyDescent="0.25">
      <c r="A4" s="190"/>
      <c r="B4" s="201"/>
      <c r="C4" s="201"/>
      <c r="D4" s="201"/>
      <c r="E4" s="201"/>
      <c r="F4" s="202"/>
    </row>
    <row r="5" spans="1:6" x14ac:dyDescent="0.25">
      <c r="A5" s="190"/>
      <c r="B5" s="91" t="s">
        <v>136</v>
      </c>
      <c r="C5" s="91" t="str">
        <f>"(1)"</f>
        <v>(1)</v>
      </c>
      <c r="D5" s="91" t="s">
        <v>133</v>
      </c>
      <c r="E5" s="92"/>
      <c r="F5" s="88"/>
    </row>
    <row r="6" spans="1:6" x14ac:dyDescent="0.25">
      <c r="A6" s="190"/>
      <c r="B6" s="93" t="s">
        <v>101</v>
      </c>
      <c r="C6" s="91"/>
      <c r="D6" s="92"/>
      <c r="E6" s="92"/>
      <c r="F6" s="88"/>
    </row>
    <row r="7" spans="1:6" ht="15.75" x14ac:dyDescent="0.3">
      <c r="A7" s="190"/>
      <c r="B7" s="93" t="s">
        <v>145</v>
      </c>
      <c r="C7" s="92" t="s">
        <v>3</v>
      </c>
      <c r="D7" s="92"/>
      <c r="E7" s="92"/>
      <c r="F7" s="88"/>
    </row>
    <row r="8" spans="1:6" ht="15.75" x14ac:dyDescent="0.3">
      <c r="A8" s="190"/>
      <c r="B8" s="93" t="s">
        <v>146</v>
      </c>
      <c r="C8" s="92" t="s">
        <v>234</v>
      </c>
      <c r="D8" s="92"/>
      <c r="E8" s="92"/>
      <c r="F8" s="88"/>
    </row>
    <row r="9" spans="1:6" x14ac:dyDescent="0.25">
      <c r="A9" s="190"/>
      <c r="B9" s="93"/>
      <c r="C9" s="92"/>
      <c r="D9" s="92"/>
      <c r="E9" s="92"/>
      <c r="F9" s="88"/>
    </row>
    <row r="10" spans="1:6" x14ac:dyDescent="0.25">
      <c r="A10" s="190"/>
      <c r="B10" s="200" t="s">
        <v>164</v>
      </c>
      <c r="C10" s="200"/>
      <c r="D10" s="200"/>
      <c r="E10" s="200"/>
      <c r="F10" s="200"/>
    </row>
    <row r="11" spans="1:6" ht="56.25" customHeight="1" x14ac:dyDescent="0.25">
      <c r="A11" s="190"/>
      <c r="B11" s="199" t="s">
        <v>165</v>
      </c>
      <c r="C11" s="199"/>
      <c r="D11" s="199"/>
      <c r="E11" s="199"/>
      <c r="F11" s="199"/>
    </row>
    <row r="12" spans="1:6" ht="15" customHeight="1" x14ac:dyDescent="0.25">
      <c r="A12" s="190"/>
      <c r="B12" s="149"/>
      <c r="C12" s="166">
        <v>0.7</v>
      </c>
      <c r="D12" s="166" t="s">
        <v>4</v>
      </c>
      <c r="E12" s="167"/>
      <c r="F12" s="167"/>
    </row>
    <row r="13" spans="1:6" ht="15" customHeight="1" x14ac:dyDescent="0.25">
      <c r="A13" s="190"/>
      <c r="B13" s="149"/>
      <c r="C13" s="166">
        <v>75</v>
      </c>
      <c r="D13" s="166" t="s">
        <v>130</v>
      </c>
      <c r="E13" s="167"/>
      <c r="F13" s="167"/>
    </row>
    <row r="14" spans="1:6" ht="15" customHeight="1" x14ac:dyDescent="0.25">
      <c r="A14" s="190"/>
      <c r="B14" s="149"/>
      <c r="C14" s="166">
        <v>0.9</v>
      </c>
      <c r="D14" s="166" t="s">
        <v>6</v>
      </c>
      <c r="E14" s="167"/>
      <c r="F14" s="167"/>
    </row>
    <row r="15" spans="1:6" ht="15" customHeight="1" x14ac:dyDescent="0.25">
      <c r="A15" s="190"/>
      <c r="B15" s="166"/>
      <c r="C15" s="166"/>
      <c r="D15" s="166"/>
      <c r="E15" s="166"/>
      <c r="F15" s="166"/>
    </row>
    <row r="16" spans="1:6" ht="33" customHeight="1" x14ac:dyDescent="0.25">
      <c r="A16" s="190"/>
      <c r="B16" s="199" t="s">
        <v>167</v>
      </c>
      <c r="C16" s="199"/>
      <c r="D16" s="199"/>
      <c r="E16" s="199"/>
      <c r="F16" s="199"/>
    </row>
    <row r="17" spans="1:6" ht="15" customHeight="1" x14ac:dyDescent="0.25">
      <c r="A17" s="190"/>
      <c r="B17" s="138"/>
      <c r="C17" s="138"/>
      <c r="D17" s="138"/>
      <c r="E17" s="138"/>
      <c r="F17" s="138"/>
    </row>
    <row r="18" spans="1:6" ht="15" customHeight="1" x14ac:dyDescent="0.25">
      <c r="A18" s="190"/>
      <c r="B18" s="138"/>
      <c r="C18" s="184"/>
      <c r="D18" s="142" t="s">
        <v>8</v>
      </c>
      <c r="E18" s="146">
        <f>IF(LEN(C18)&gt;1,C18,C20/0.000472)</f>
        <v>0</v>
      </c>
      <c r="F18" s="138"/>
    </row>
    <row r="19" spans="1:6" x14ac:dyDescent="0.25">
      <c r="A19" s="190"/>
      <c r="B19" s="92"/>
      <c r="C19" s="152" t="s">
        <v>2</v>
      </c>
      <c r="D19" s="142"/>
      <c r="E19" s="142"/>
      <c r="F19" s="92"/>
    </row>
    <row r="20" spans="1:6" x14ac:dyDescent="0.25">
      <c r="A20" s="190"/>
      <c r="B20" s="92"/>
      <c r="C20" s="184"/>
      <c r="D20" s="143" t="s">
        <v>166</v>
      </c>
      <c r="E20" s="142"/>
      <c r="F20" s="92"/>
    </row>
    <row r="21" spans="1:6" x14ac:dyDescent="0.25">
      <c r="A21" s="190"/>
      <c r="B21" s="91"/>
      <c r="E21" s="142"/>
      <c r="F21" s="92"/>
    </row>
    <row r="22" spans="1:6" x14ac:dyDescent="0.25">
      <c r="A22" s="190"/>
      <c r="B22" s="200" t="s">
        <v>201</v>
      </c>
      <c r="C22" s="200"/>
      <c r="D22" s="200"/>
      <c r="E22" s="200"/>
      <c r="F22" s="200"/>
    </row>
    <row r="23" spans="1:6" x14ac:dyDescent="0.25">
      <c r="A23" s="190"/>
      <c r="B23" s="199" t="s">
        <v>236</v>
      </c>
      <c r="C23" s="199"/>
      <c r="D23" s="199"/>
      <c r="E23" s="199"/>
      <c r="F23" s="199"/>
    </row>
    <row r="24" spans="1:6" x14ac:dyDescent="0.25">
      <c r="A24" s="190"/>
      <c r="B24" s="138"/>
      <c r="C24" s="138"/>
      <c r="D24" s="138"/>
      <c r="E24" s="138"/>
      <c r="F24" s="138"/>
    </row>
    <row r="25" spans="1:6" x14ac:dyDescent="0.25">
      <c r="A25" s="190"/>
      <c r="B25" s="91" t="s">
        <v>136</v>
      </c>
      <c r="C25" s="91" t="str">
        <f>"(1)"</f>
        <v>(1)</v>
      </c>
      <c r="D25" s="94"/>
      <c r="E25" s="94"/>
      <c r="F25" s="94"/>
    </row>
    <row r="26" spans="1:6" x14ac:dyDescent="0.25">
      <c r="A26" s="190"/>
      <c r="B26" s="92"/>
      <c r="C26" s="92"/>
      <c r="D26" s="94"/>
      <c r="E26" s="94"/>
      <c r="F26" s="94"/>
    </row>
    <row r="27" spans="1:6" x14ac:dyDescent="0.25">
      <c r="A27" s="190"/>
      <c r="B27" s="91" t="str">
        <f>CONCATENATE("Pfan = ", E18, " * 0.3 = ")</f>
        <v xml:space="preserve">Pfan = 0 * 0.3 = </v>
      </c>
      <c r="C27" s="92"/>
      <c r="E27" s="96">
        <f>E18*0.3</f>
        <v>0</v>
      </c>
      <c r="F27" s="177" t="s">
        <v>170</v>
      </c>
    </row>
    <row r="28" spans="1:6" x14ac:dyDescent="0.25">
      <c r="A28" s="190"/>
      <c r="B28" s="91"/>
      <c r="C28" s="92"/>
      <c r="D28" s="92"/>
      <c r="E28" s="92"/>
      <c r="F28" s="92"/>
    </row>
    <row r="29" spans="1:6" x14ac:dyDescent="0.25">
      <c r="A29" s="190"/>
      <c r="B29" s="200" t="s">
        <v>211</v>
      </c>
      <c r="C29" s="200"/>
      <c r="D29" s="200"/>
      <c r="E29" s="200"/>
      <c r="F29" s="200"/>
    </row>
    <row r="30" spans="1:6" ht="78.75" customHeight="1" x14ac:dyDescent="0.25">
      <c r="A30" s="190"/>
      <c r="B30" s="199" t="s">
        <v>237</v>
      </c>
      <c r="C30" s="199"/>
      <c r="D30" s="199"/>
      <c r="E30" s="199"/>
      <c r="F30" s="199"/>
    </row>
    <row r="31" spans="1:6" x14ac:dyDescent="0.25">
      <c r="A31" s="190"/>
      <c r="B31" s="91"/>
      <c r="C31" s="92"/>
      <c r="D31" s="92"/>
      <c r="E31" s="92"/>
      <c r="F31" s="92"/>
    </row>
    <row r="32" spans="1:6" x14ac:dyDescent="0.25">
      <c r="A32" s="190"/>
      <c r="B32" s="91"/>
      <c r="C32" s="92"/>
      <c r="D32" s="92"/>
      <c r="E32" s="178">
        <f>E27/746</f>
        <v>0</v>
      </c>
      <c r="F32" s="177" t="s">
        <v>212</v>
      </c>
    </row>
    <row r="33" spans="1:6" x14ac:dyDescent="0.25">
      <c r="A33" s="190"/>
      <c r="B33" s="91"/>
      <c r="C33" s="92"/>
      <c r="D33" s="92"/>
      <c r="E33" s="92"/>
      <c r="F33" s="92"/>
    </row>
    <row r="34" spans="1:6" x14ac:dyDescent="0.25">
      <c r="A34" s="190"/>
      <c r="B34" s="91"/>
      <c r="C34" s="92"/>
      <c r="D34" s="95" t="s">
        <v>210</v>
      </c>
      <c r="E34" s="185"/>
      <c r="F34" s="92"/>
    </row>
    <row r="35" spans="1:6" x14ac:dyDescent="0.25">
      <c r="A35" s="190"/>
      <c r="B35" s="119" t="s">
        <v>128</v>
      </c>
      <c r="C35" s="92"/>
      <c r="D35" s="92"/>
      <c r="E35" s="92"/>
      <c r="F35" s="92"/>
    </row>
    <row r="36" spans="1:6" x14ac:dyDescent="0.25">
      <c r="A36" s="190"/>
      <c r="B36" s="91"/>
      <c r="C36" s="92"/>
      <c r="D36" s="92"/>
      <c r="E36" s="92"/>
      <c r="F36" s="92"/>
    </row>
    <row r="37" spans="1:6" x14ac:dyDescent="0.25">
      <c r="A37" s="190"/>
      <c r="B37" s="200" t="s">
        <v>174</v>
      </c>
      <c r="C37" s="200"/>
      <c r="D37" s="200"/>
      <c r="E37" s="200"/>
      <c r="F37" s="200"/>
    </row>
    <row r="38" spans="1:6" ht="27" customHeight="1" x14ac:dyDescent="0.25">
      <c r="A38" s="190"/>
      <c r="B38" s="199" t="s">
        <v>202</v>
      </c>
      <c r="C38" s="199"/>
      <c r="D38" s="199"/>
      <c r="E38" s="199"/>
      <c r="F38" s="199"/>
    </row>
    <row r="39" spans="1:6" x14ac:dyDescent="0.25">
      <c r="A39" s="190"/>
      <c r="B39" s="91"/>
      <c r="C39" s="91"/>
      <c r="D39" s="91"/>
      <c r="E39" s="91"/>
      <c r="F39" s="91"/>
    </row>
    <row r="40" spans="1:6" ht="15.75" x14ac:dyDescent="0.3">
      <c r="A40" s="190"/>
      <c r="B40" s="91" t="s">
        <v>205</v>
      </c>
      <c r="C40" s="169"/>
      <c r="D40" s="91" t="str">
        <f>"(2)"</f>
        <v>(2)</v>
      </c>
      <c r="E40" s="169"/>
      <c r="F40" s="91"/>
    </row>
    <row r="41" spans="1:6" x14ac:dyDescent="0.25">
      <c r="A41" s="190"/>
      <c r="B41" s="169"/>
      <c r="C41" s="169"/>
      <c r="D41" s="169"/>
      <c r="E41" s="169"/>
      <c r="F41" s="91"/>
    </row>
    <row r="42" spans="1:6" x14ac:dyDescent="0.25">
      <c r="A42" s="190"/>
      <c r="B42" s="143" t="s">
        <v>101</v>
      </c>
      <c r="C42" s="169"/>
      <c r="D42" s="169"/>
      <c r="E42" s="169"/>
      <c r="F42" s="91"/>
    </row>
    <row r="43" spans="1:6" ht="15.75" x14ac:dyDescent="0.3">
      <c r="A43" s="190"/>
      <c r="B43" s="95" t="s">
        <v>203</v>
      </c>
      <c r="C43" s="143" t="s">
        <v>176</v>
      </c>
      <c r="D43" s="169"/>
      <c r="E43" s="169"/>
      <c r="F43" s="91"/>
    </row>
    <row r="44" spans="1:6" x14ac:dyDescent="0.25">
      <c r="A44" s="190"/>
      <c r="B44" s="95" t="s">
        <v>204</v>
      </c>
      <c r="C44" s="143" t="s">
        <v>178</v>
      </c>
      <c r="D44" s="169"/>
      <c r="E44" s="169"/>
      <c r="F44" s="91"/>
    </row>
    <row r="45" spans="1:6" x14ac:dyDescent="0.25">
      <c r="A45" s="190"/>
      <c r="B45" s="169"/>
      <c r="C45" s="169"/>
      <c r="D45" s="169"/>
      <c r="E45" s="169"/>
      <c r="F45" s="91"/>
    </row>
    <row r="46" spans="1:6" x14ac:dyDescent="0.25">
      <c r="A46" s="190"/>
      <c r="B46" s="91" t="str">
        <f>CONCATENATE("ηtot=(.000472 * ",E18, " * ΔPa) / ", ROUNDUP(E27,))</f>
        <v>ηtot=(.000472 * 0 * ΔPa) / 0</v>
      </c>
      <c r="C46" s="169"/>
      <c r="D46" s="169"/>
      <c r="E46" s="169"/>
      <c r="F46" s="91"/>
    </row>
    <row r="47" spans="1:6" x14ac:dyDescent="0.25">
      <c r="A47" s="190"/>
      <c r="B47" s="169" t="s">
        <v>194</v>
      </c>
      <c r="C47" s="169"/>
      <c r="D47" s="169"/>
      <c r="E47" s="169"/>
      <c r="F47" s="91"/>
    </row>
    <row r="48" spans="1:6" ht="15" customHeight="1" x14ac:dyDescent="0.25">
      <c r="A48" s="190"/>
      <c r="B48" s="91" t="str">
        <f>CONCATENATE(ROUNDUP(E27,),"ηtot=", (0.000472 *E18), "ΔPa")</f>
        <v>0ηtot=0ΔPa</v>
      </c>
      <c r="C48" s="169"/>
      <c r="D48" s="169"/>
      <c r="E48" s="169"/>
      <c r="F48" s="91"/>
    </row>
    <row r="49" spans="1:6" x14ac:dyDescent="0.25">
      <c r="A49" s="190"/>
      <c r="B49" s="169" t="s">
        <v>194</v>
      </c>
      <c r="C49" s="169"/>
      <c r="D49" s="169"/>
      <c r="E49" s="169"/>
      <c r="F49" s="91"/>
    </row>
    <row r="50" spans="1:6" x14ac:dyDescent="0.25">
      <c r="A50" s="190"/>
      <c r="B50" s="91" t="e">
        <f>CONCATENATE("ΔPa / ηtot = ", ROUNDUP(E27/(0.000472 *E18), ))</f>
        <v>#DIV/0!</v>
      </c>
      <c r="C50" s="169"/>
      <c r="D50" s="169"/>
      <c r="E50" s="169"/>
      <c r="F50" s="91"/>
    </row>
    <row r="51" spans="1:6" x14ac:dyDescent="0.25">
      <c r="A51" s="190"/>
      <c r="B51" s="169"/>
      <c r="C51" s="169"/>
      <c r="D51" s="169"/>
      <c r="E51" s="169"/>
      <c r="F51" s="91"/>
    </row>
    <row r="52" spans="1:6" x14ac:dyDescent="0.25">
      <c r="A52" s="190"/>
      <c r="B52" s="200" t="s">
        <v>181</v>
      </c>
      <c r="C52" s="200"/>
      <c r="D52" s="200"/>
      <c r="E52" s="200"/>
      <c r="F52" s="200"/>
    </row>
    <row r="53" spans="1:6" ht="43.5" customHeight="1" x14ac:dyDescent="0.25">
      <c r="A53" s="190"/>
      <c r="B53" s="199" t="s">
        <v>235</v>
      </c>
      <c r="C53" s="199"/>
      <c r="D53" s="199"/>
      <c r="E53" s="199"/>
      <c r="F53" s="199"/>
    </row>
    <row r="54" spans="1:6" x14ac:dyDescent="0.25">
      <c r="A54" s="190"/>
      <c r="B54" s="150"/>
      <c r="C54" s="150"/>
      <c r="D54" s="101" t="s">
        <v>182</v>
      </c>
      <c r="E54" s="96">
        <v>0.7</v>
      </c>
      <c r="F54" s="150"/>
    </row>
    <row r="55" spans="1:6" x14ac:dyDescent="0.25">
      <c r="A55" s="190"/>
      <c r="B55" s="169" t="s">
        <v>194</v>
      </c>
      <c r="C55" s="150"/>
      <c r="D55" s="150"/>
      <c r="E55" s="150"/>
      <c r="F55" s="150"/>
    </row>
    <row r="56" spans="1:6" x14ac:dyDescent="0.25">
      <c r="A56" s="190"/>
      <c r="B56" s="91" t="e">
        <f>CONCATENATE("ΔPa = ", ROUNDUP(E27/(0.000472 *E18), ), " * ", E54)</f>
        <v>#DIV/0!</v>
      </c>
      <c r="C56" s="151"/>
      <c r="D56" s="151"/>
      <c r="E56" s="176" t="e">
        <f>E27/(0.000472 *E18)*E54</f>
        <v>#DIV/0!</v>
      </c>
      <c r="F56" s="177" t="s">
        <v>206</v>
      </c>
    </row>
    <row r="57" spans="1:6" x14ac:dyDescent="0.25">
      <c r="A57" s="190"/>
      <c r="B57" s="144"/>
      <c r="C57" s="144"/>
      <c r="D57" s="144"/>
      <c r="E57" s="171"/>
      <c r="F57" s="171"/>
    </row>
    <row r="58" spans="1:6" x14ac:dyDescent="0.25">
      <c r="A58" s="190"/>
      <c r="B58" s="200" t="s">
        <v>120</v>
      </c>
      <c r="C58" s="200"/>
      <c r="D58" s="200"/>
      <c r="E58" s="200"/>
      <c r="F58" s="200"/>
    </row>
    <row r="59" spans="1:6" ht="15" customHeight="1" x14ac:dyDescent="0.25">
      <c r="A59" s="190"/>
      <c r="B59" s="151"/>
      <c r="C59" s="151"/>
      <c r="D59" s="151"/>
      <c r="E59" s="151"/>
      <c r="F59" s="151"/>
    </row>
    <row r="60" spans="1:6" ht="15.75" thickBot="1" x14ac:dyDescent="0.3">
      <c r="A60" s="190"/>
      <c r="B60" s="168" t="s">
        <v>246</v>
      </c>
      <c r="C60" s="170"/>
      <c r="D60" s="170"/>
      <c r="E60" s="151"/>
      <c r="F60" s="151"/>
    </row>
    <row r="61" spans="1:6" x14ac:dyDescent="0.25">
      <c r="A61" s="190"/>
      <c r="B61" s="144"/>
      <c r="C61" s="127">
        <f>E54</f>
        <v>0.7</v>
      </c>
      <c r="D61" s="128" t="s">
        <v>4</v>
      </c>
      <c r="E61" s="129"/>
      <c r="F61" s="151"/>
    </row>
    <row r="62" spans="1:6" x14ac:dyDescent="0.25">
      <c r="A62" s="190"/>
      <c r="B62" s="144"/>
      <c r="C62" s="130" t="e">
        <f>E56</f>
        <v>#DIV/0!</v>
      </c>
      <c r="D62" s="121" t="s">
        <v>5</v>
      </c>
      <c r="E62" s="131"/>
      <c r="F62" s="151"/>
    </row>
    <row r="63" spans="1:6" ht="15.75" thickBot="1" x14ac:dyDescent="0.3">
      <c r="A63" s="190"/>
      <c r="B63" s="144"/>
      <c r="C63" s="132">
        <f>E34</f>
        <v>0</v>
      </c>
      <c r="D63" s="133" t="s">
        <v>6</v>
      </c>
      <c r="E63" s="134"/>
      <c r="F63" s="151"/>
    </row>
    <row r="64" spans="1:6" x14ac:dyDescent="0.25">
      <c r="A64" s="190"/>
      <c r="B64" s="151"/>
      <c r="C64" s="151"/>
      <c r="D64" s="151"/>
      <c r="E64" s="151"/>
      <c r="F64" s="151"/>
    </row>
    <row r="65" spans="1:6" x14ac:dyDescent="0.25">
      <c r="A65" s="190"/>
      <c r="B65" s="200" t="s">
        <v>184</v>
      </c>
      <c r="C65" s="200"/>
      <c r="D65" s="200"/>
      <c r="E65" s="200"/>
      <c r="F65" s="200"/>
    </row>
    <row r="66" spans="1:6" ht="28.5" customHeight="1" x14ac:dyDescent="0.25">
      <c r="A66" s="190"/>
      <c r="B66" s="199" t="s">
        <v>238</v>
      </c>
      <c r="C66" s="199"/>
      <c r="D66" s="199"/>
      <c r="E66" s="199"/>
      <c r="F66" s="199"/>
    </row>
    <row r="67" spans="1:6" x14ac:dyDescent="0.25">
      <c r="A67" s="190"/>
      <c r="B67" s="150"/>
      <c r="C67" s="150"/>
      <c r="D67" s="150"/>
      <c r="E67" s="150"/>
      <c r="F67" s="150"/>
    </row>
    <row r="68" spans="1:6" x14ac:dyDescent="0.25">
      <c r="A68" s="190"/>
      <c r="B68" s="113" t="s">
        <v>7</v>
      </c>
      <c r="C68" s="186"/>
      <c r="D68" s="121" t="s">
        <v>186</v>
      </c>
      <c r="E68" s="125">
        <f>C68</f>
        <v>0</v>
      </c>
      <c r="F68" s="102" t="s">
        <v>207</v>
      </c>
    </row>
    <row r="69" spans="1:6" x14ac:dyDescent="0.25">
      <c r="A69" s="190"/>
      <c r="B69" s="113" t="s">
        <v>189</v>
      </c>
      <c r="C69" s="186"/>
      <c r="D69" s="121" t="s">
        <v>187</v>
      </c>
      <c r="E69" s="125">
        <f>C69*6894.75729</f>
        <v>0</v>
      </c>
      <c r="F69" s="177" t="s">
        <v>206</v>
      </c>
    </row>
    <row r="70" spans="1:6" x14ac:dyDescent="0.25">
      <c r="A70" s="190"/>
      <c r="B70" s="113" t="s">
        <v>190</v>
      </c>
      <c r="C70" s="186"/>
      <c r="D70" s="121" t="s">
        <v>188</v>
      </c>
      <c r="E70" s="125">
        <f>C70</f>
        <v>0</v>
      </c>
      <c r="F70" s="121" t="s">
        <v>8</v>
      </c>
    </row>
    <row r="71" spans="1:6" x14ac:dyDescent="0.25">
      <c r="A71" s="190"/>
      <c r="B71" s="113" t="s">
        <v>191</v>
      </c>
      <c r="C71" s="186"/>
      <c r="D71" s="121" t="s">
        <v>170</v>
      </c>
      <c r="E71" s="125">
        <f>C71</f>
        <v>0</v>
      </c>
      <c r="F71" s="121" t="s">
        <v>170</v>
      </c>
    </row>
    <row r="72" spans="1:6" x14ac:dyDescent="0.25">
      <c r="A72" s="190"/>
      <c r="B72" s="7"/>
      <c r="C72" s="7"/>
      <c r="D72" s="151"/>
      <c r="E72" s="7"/>
      <c r="F72" s="7"/>
    </row>
    <row r="73" spans="1:6" x14ac:dyDescent="0.25">
      <c r="A73" s="190"/>
      <c r="B73" s="168" t="s">
        <v>197</v>
      </c>
      <c r="C73" s="173"/>
      <c r="D73" s="153"/>
      <c r="E73" s="160" t="e">
        <f>E27/(0.000472 *E18)</f>
        <v>#DIV/0!</v>
      </c>
      <c r="F73" s="160" t="e">
        <f>E69/E68</f>
        <v>#DIV/0!</v>
      </c>
    </row>
    <row r="74" spans="1:6" x14ac:dyDescent="0.25">
      <c r="A74" s="190"/>
      <c r="B74" s="140" t="e">
        <f>CONCATENATE("Does ΔPa / ηtot = ", ROUNDUP(E27/(0.000472 *E18),),"?")</f>
        <v>#DIV/0!</v>
      </c>
      <c r="C74" s="174"/>
      <c r="D74" s="118" t="e">
        <f>IF(E73&gt;=F73, IF(((E73-F73)/E73)&lt;0.05, "Yes", "No - please revisit"), IF(F73&gt;E73, IF((((F73-E73)/F73)&lt;0.05), "Yes", "No - please revisit")))</f>
        <v>#DIV/0!</v>
      </c>
      <c r="E74" s="159"/>
      <c r="F74" s="159"/>
    </row>
    <row r="75" spans="1:6" x14ac:dyDescent="0.25">
      <c r="A75" s="190"/>
      <c r="B75" s="140" t="str">
        <f>CONCATENATE("Does (.000472CFMs * ΔPa) / Pfan =", E54*100, "% ?")</f>
        <v>Does (.000472CFMs * ΔPa) / Pfan =70% ?</v>
      </c>
      <c r="C75" s="151"/>
      <c r="D75" s="118" t="e">
        <f>IF(E75&gt;=E68, IF(((E75-E68)/E75)&lt;0.05, "Yes", "No - please revisit"), IF(E68&gt;E75, IF((((E68-E75)/E68)&lt;0.05), "Yes", "No - please revisit")))</f>
        <v>#DIV/0!</v>
      </c>
      <c r="E75" s="161" t="e">
        <f>(0.000472*E70*E69)/E71</f>
        <v>#DIV/0!</v>
      </c>
      <c r="F75" s="159"/>
    </row>
    <row r="76" spans="1:6" x14ac:dyDescent="0.25">
      <c r="A76" s="190"/>
      <c r="B76" s="168" t="s">
        <v>198</v>
      </c>
      <c r="C76" s="151"/>
      <c r="D76" s="153"/>
      <c r="E76" s="161">
        <f>0.3*E70</f>
        <v>0</v>
      </c>
      <c r="F76" s="162">
        <f>0.3*C18</f>
        <v>0</v>
      </c>
    </row>
    <row r="77" spans="1:6" ht="15.75" x14ac:dyDescent="0.3">
      <c r="A77" s="190"/>
      <c r="B77" s="140" t="s">
        <v>208</v>
      </c>
      <c r="C77" s="151"/>
      <c r="D77" s="118" t="e">
        <f>IF(E76&gt;=F76, IF(((E76-F76)/E76)&lt;0.05, "Yes", "No - please revisit"), IF(F76&gt;E76, IF((((F76-E76)/F76)&lt;0.05), "Yes", "No - please revisit")))</f>
        <v>#DIV/0!</v>
      </c>
      <c r="E77" s="159"/>
      <c r="F77" s="159"/>
    </row>
    <row r="78" spans="1:6" x14ac:dyDescent="0.25">
      <c r="A78" s="190"/>
      <c r="B78" s="151"/>
      <c r="C78" s="151"/>
      <c r="D78" s="175"/>
      <c r="E78" s="7"/>
      <c r="F78" s="7"/>
    </row>
    <row r="79" spans="1:6" hidden="1" x14ac:dyDescent="0.25">
      <c r="A79" s="190"/>
      <c r="B79" s="92"/>
      <c r="C79" s="92"/>
      <c r="D79" s="92"/>
      <c r="E79" s="92"/>
      <c r="F79" s="88"/>
    </row>
    <row r="80" spans="1:6" hidden="1" x14ac:dyDescent="0.25">
      <c r="A80" s="190"/>
      <c r="B80" s="92" t="s">
        <v>93</v>
      </c>
      <c r="C80" s="97">
        <v>0.85</v>
      </c>
      <c r="D80" s="96" t="s">
        <v>94</v>
      </c>
      <c r="E80" s="92"/>
      <c r="F80" s="88"/>
    </row>
    <row r="81" spans="1:6" hidden="1" x14ac:dyDescent="0.25">
      <c r="A81" s="190"/>
      <c r="B81" s="92"/>
      <c r="C81" s="96" t="s">
        <v>2</v>
      </c>
      <c r="D81" s="92"/>
      <c r="E81" s="92"/>
      <c r="F81" s="88"/>
    </row>
    <row r="82" spans="1:6" hidden="1" x14ac:dyDescent="0.25">
      <c r="A82" s="190"/>
      <c r="B82" s="92"/>
      <c r="C82" s="96"/>
      <c r="D82" s="96" t="s">
        <v>130</v>
      </c>
      <c r="E82" s="92"/>
      <c r="F82" s="88"/>
    </row>
    <row r="83" spans="1:6" hidden="1" x14ac:dyDescent="0.25">
      <c r="A83" s="190"/>
      <c r="B83" s="92"/>
      <c r="C83" s="92"/>
      <c r="D83" s="92"/>
      <c r="E83" s="92"/>
      <c r="F83" s="88"/>
    </row>
    <row r="84" spans="1:6" hidden="1" x14ac:dyDescent="0.25">
      <c r="A84" s="190"/>
      <c r="B84" s="98" t="s">
        <v>119</v>
      </c>
      <c r="C84" s="99">
        <f>IF(C80&gt;0, C80*0.3, C82)</f>
        <v>0.255</v>
      </c>
      <c r="D84" s="92"/>
      <c r="E84" s="92"/>
      <c r="F84" s="88"/>
    </row>
    <row r="85" spans="1:6" hidden="1" x14ac:dyDescent="0.25">
      <c r="A85" s="190"/>
      <c r="B85" s="98" t="s">
        <v>147</v>
      </c>
      <c r="C85" s="99">
        <f>IF(C80&gt;0, C80, C82/0.3)</f>
        <v>0.85</v>
      </c>
      <c r="D85" s="92"/>
      <c r="E85" s="92"/>
      <c r="F85" s="88"/>
    </row>
    <row r="86" spans="1:6" hidden="1" x14ac:dyDescent="0.25">
      <c r="A86" s="190"/>
      <c r="B86" s="89"/>
      <c r="C86" s="89"/>
      <c r="D86" s="89"/>
      <c r="E86" s="89"/>
      <c r="F86" s="89"/>
    </row>
    <row r="87" spans="1:6" hidden="1" x14ac:dyDescent="0.25">
      <c r="A87" s="190"/>
      <c r="B87" s="200" t="s">
        <v>120</v>
      </c>
      <c r="C87" s="200"/>
      <c r="D87" s="200"/>
      <c r="E87" s="200"/>
      <c r="F87" s="200"/>
    </row>
    <row r="88" spans="1:6" hidden="1" x14ac:dyDescent="0.25">
      <c r="A88" s="190"/>
      <c r="B88" s="88"/>
      <c r="C88" s="88"/>
      <c r="D88" s="88"/>
      <c r="E88" s="88"/>
      <c r="F88" s="88"/>
    </row>
    <row r="89" spans="1:6" hidden="1" x14ac:dyDescent="0.25">
      <c r="A89" s="190"/>
      <c r="B89" s="102" t="s">
        <v>126</v>
      </c>
      <c r="C89" s="102"/>
      <c r="D89" s="102"/>
      <c r="E89" s="92"/>
      <c r="F89" s="88"/>
    </row>
    <row r="90" spans="1:6" hidden="1" x14ac:dyDescent="0.25">
      <c r="A90" s="190"/>
      <c r="B90" s="94"/>
      <c r="C90" s="103">
        <f>C85</f>
        <v>0.85</v>
      </c>
      <c r="D90" s="104" t="s">
        <v>4</v>
      </c>
      <c r="E90" s="105"/>
      <c r="F90" s="88"/>
    </row>
    <row r="91" spans="1:6" hidden="1" x14ac:dyDescent="0.25">
      <c r="A91" s="190"/>
      <c r="B91" s="94"/>
      <c r="C91" s="106">
        <f>C84</f>
        <v>0.255</v>
      </c>
      <c r="D91" s="102" t="s">
        <v>5</v>
      </c>
      <c r="E91" s="107"/>
      <c r="F91" s="88"/>
    </row>
    <row r="92" spans="1:6" ht="15.75" hidden="1" thickBot="1" x14ac:dyDescent="0.3">
      <c r="A92" s="190"/>
      <c r="B92" s="94"/>
      <c r="C92" s="108" t="e">
        <f>#REF!</f>
        <v>#REF!</v>
      </c>
      <c r="D92" s="109" t="s">
        <v>6</v>
      </c>
      <c r="E92" s="110"/>
      <c r="F92" s="88"/>
    </row>
    <row r="93" spans="1:6" hidden="1" x14ac:dyDescent="0.25">
      <c r="A93" s="190"/>
      <c r="B93" s="111"/>
      <c r="C93" s="111"/>
      <c r="D93" s="111"/>
      <c r="E93" s="111"/>
      <c r="F93" s="82"/>
    </row>
    <row r="94" spans="1:6" hidden="1" x14ac:dyDescent="0.25">
      <c r="A94" s="190"/>
      <c r="B94" s="111"/>
      <c r="C94" s="111"/>
      <c r="D94" s="111"/>
      <c r="E94" s="111"/>
      <c r="F94" s="82"/>
    </row>
    <row r="95" spans="1:6" hidden="1" x14ac:dyDescent="0.25">
      <c r="A95" s="190"/>
      <c r="B95" s="111"/>
      <c r="C95" s="111"/>
      <c r="D95" s="111"/>
      <c r="E95" s="111"/>
      <c r="F95" s="82"/>
    </row>
    <row r="96" spans="1:6" hidden="1" x14ac:dyDescent="0.25">
      <c r="A96" s="190"/>
      <c r="B96" s="82"/>
      <c r="C96" s="82"/>
      <c r="D96" s="82"/>
      <c r="E96" s="82"/>
      <c r="F96" s="82"/>
    </row>
    <row r="97" spans="1:6" hidden="1" x14ac:dyDescent="0.25">
      <c r="A97" s="190"/>
      <c r="B97" s="24"/>
      <c r="C97" s="24"/>
      <c r="D97" s="24"/>
      <c r="E97" s="24"/>
      <c r="F97" s="24"/>
    </row>
    <row r="98" spans="1:6" hidden="1" x14ac:dyDescent="0.25">
      <c r="A98" s="190"/>
      <c r="B98" s="24"/>
      <c r="C98" s="24"/>
      <c r="D98" s="24"/>
      <c r="E98" s="24"/>
      <c r="F98" s="24"/>
    </row>
    <row r="99" spans="1:6" hidden="1" x14ac:dyDescent="0.25">
      <c r="A99" s="190"/>
      <c r="B99" s="24"/>
      <c r="C99" s="24"/>
      <c r="D99" s="24"/>
      <c r="E99" s="24"/>
      <c r="F99" s="24"/>
    </row>
    <row r="100" spans="1:6" hidden="1" x14ac:dyDescent="0.25">
      <c r="A100" s="190"/>
      <c r="B100" s="24"/>
      <c r="C100" s="24"/>
      <c r="D100" s="24"/>
      <c r="E100" s="24"/>
      <c r="F100" s="24"/>
    </row>
    <row r="101" spans="1:6" hidden="1" x14ac:dyDescent="0.25">
      <c r="A101" s="190"/>
      <c r="B101" s="24"/>
      <c r="C101" s="24"/>
      <c r="D101" s="24"/>
      <c r="E101" s="24"/>
      <c r="F101" s="24"/>
    </row>
    <row r="102" spans="1:6" hidden="1" x14ac:dyDescent="0.25">
      <c r="A102" s="190"/>
      <c r="B102" s="24"/>
      <c r="C102" s="24"/>
      <c r="D102" s="24"/>
      <c r="E102" s="24"/>
      <c r="F102" s="24"/>
    </row>
    <row r="103" spans="1:6" hidden="1" x14ac:dyDescent="0.25">
      <c r="A103" s="190"/>
      <c r="B103" s="24"/>
      <c r="C103" s="24"/>
      <c r="D103" s="24"/>
      <c r="E103" s="24"/>
      <c r="F103" s="24"/>
    </row>
    <row r="104" spans="1:6" hidden="1" x14ac:dyDescent="0.25">
      <c r="A104" s="190"/>
      <c r="B104" s="24"/>
      <c r="C104" s="24"/>
      <c r="D104" s="24"/>
      <c r="E104" s="24"/>
      <c r="F104" s="24"/>
    </row>
    <row r="105" spans="1:6" hidden="1" x14ac:dyDescent="0.25">
      <c r="A105" s="190"/>
      <c r="B105" s="24"/>
      <c r="C105" s="24"/>
      <c r="D105" s="24"/>
      <c r="E105" s="24"/>
      <c r="F105" s="24"/>
    </row>
    <row r="106" spans="1:6" hidden="1" x14ac:dyDescent="0.25">
      <c r="A106" s="190"/>
      <c r="B106" s="24"/>
      <c r="C106" s="24"/>
      <c r="D106" s="24"/>
      <c r="E106" s="24"/>
      <c r="F106" s="24"/>
    </row>
    <row r="107" spans="1:6" hidden="1" x14ac:dyDescent="0.25">
      <c r="A107" s="190"/>
      <c r="B107" s="24"/>
      <c r="C107" s="24"/>
      <c r="D107" s="24"/>
      <c r="E107" s="24"/>
      <c r="F107" s="24"/>
    </row>
    <row r="108" spans="1:6" hidden="1" x14ac:dyDescent="0.25">
      <c r="A108" s="190"/>
      <c r="B108" s="24"/>
      <c r="C108" s="24"/>
      <c r="D108" s="24"/>
      <c r="E108" s="24"/>
      <c r="F108" s="24"/>
    </row>
    <row r="109" spans="1:6" hidden="1" x14ac:dyDescent="0.25">
      <c r="A109" s="190"/>
      <c r="B109" s="24"/>
      <c r="C109" s="24"/>
      <c r="D109" s="24"/>
      <c r="E109" s="24"/>
      <c r="F109" s="24"/>
    </row>
    <row r="110" spans="1:6" hidden="1" x14ac:dyDescent="0.25">
      <c r="A110" s="190"/>
      <c r="B110" s="24"/>
      <c r="C110" s="24"/>
      <c r="D110" s="24"/>
      <c r="E110" s="24"/>
      <c r="F110" s="24"/>
    </row>
    <row r="111" spans="1:6" hidden="1" x14ac:dyDescent="0.25">
      <c r="A111" s="190"/>
      <c r="B111" s="24"/>
      <c r="C111" s="24"/>
      <c r="D111" s="24"/>
      <c r="E111" s="24"/>
      <c r="F111" s="24"/>
    </row>
    <row r="112" spans="1:6" hidden="1" x14ac:dyDescent="0.25">
      <c r="A112" s="190"/>
      <c r="B112" s="24"/>
      <c r="C112" s="24"/>
      <c r="D112" s="24"/>
      <c r="E112" s="24"/>
      <c r="F112" s="24"/>
    </row>
    <row r="113" spans="1:6" hidden="1" x14ac:dyDescent="0.25">
      <c r="A113" s="190"/>
      <c r="B113" s="24"/>
      <c r="C113" s="24"/>
      <c r="D113" s="24"/>
      <c r="E113" s="24"/>
      <c r="F113" s="24"/>
    </row>
    <row r="114" spans="1:6" hidden="1" x14ac:dyDescent="0.25">
      <c r="A114" s="190"/>
      <c r="B114" s="24"/>
      <c r="C114" s="24"/>
      <c r="D114" s="24"/>
      <c r="E114" s="24"/>
      <c r="F114" s="24"/>
    </row>
    <row r="115" spans="1:6" hidden="1" x14ac:dyDescent="0.25">
      <c r="A115" s="190"/>
      <c r="B115" s="24"/>
      <c r="C115" s="24"/>
      <c r="D115" s="24"/>
      <c r="E115" s="24"/>
      <c r="F115" s="24"/>
    </row>
    <row r="116" spans="1:6" hidden="1" x14ac:dyDescent="0.25">
      <c r="A116" s="190"/>
      <c r="B116" s="24"/>
      <c r="C116" s="24"/>
      <c r="D116" s="24"/>
      <c r="E116" s="24"/>
      <c r="F116" s="24"/>
    </row>
    <row r="117" spans="1:6" hidden="1" x14ac:dyDescent="0.25">
      <c r="A117" s="190"/>
      <c r="B117" s="24"/>
      <c r="C117" s="24"/>
      <c r="D117" s="24"/>
      <c r="E117" s="24"/>
      <c r="F117" s="24"/>
    </row>
    <row r="118" spans="1:6" hidden="1" x14ac:dyDescent="0.25">
      <c r="A118" s="190"/>
      <c r="B118" s="24"/>
      <c r="C118" s="24"/>
      <c r="D118" s="24"/>
      <c r="E118" s="24"/>
      <c r="F118" s="24"/>
    </row>
    <row r="119" spans="1:6" hidden="1" x14ac:dyDescent="0.25">
      <c r="A119" s="190"/>
      <c r="B119" s="24"/>
      <c r="C119" s="24"/>
      <c r="D119" s="24"/>
      <c r="E119" s="24"/>
      <c r="F119" s="24"/>
    </row>
    <row r="120" spans="1:6" hidden="1" x14ac:dyDescent="0.25">
      <c r="A120" s="190"/>
      <c r="B120" s="24"/>
      <c r="C120" s="24"/>
      <c r="D120" s="24"/>
      <c r="E120" s="24"/>
      <c r="F120" s="24"/>
    </row>
    <row r="121" spans="1:6" hidden="1" x14ac:dyDescent="0.25">
      <c r="A121" s="190"/>
      <c r="B121" s="24"/>
      <c r="C121" s="24"/>
      <c r="D121" s="24"/>
      <c r="E121" s="24"/>
      <c r="F121" s="24"/>
    </row>
    <row r="122" spans="1:6" hidden="1" x14ac:dyDescent="0.25">
      <c r="A122" s="190"/>
      <c r="B122" s="24"/>
      <c r="C122" s="24"/>
      <c r="D122" s="24"/>
      <c r="E122" s="24"/>
      <c r="F122" s="24"/>
    </row>
    <row r="123" spans="1:6" hidden="1" x14ac:dyDescent="0.25">
      <c r="A123" s="190"/>
      <c r="B123" s="24"/>
      <c r="C123" s="24"/>
      <c r="D123" s="24"/>
      <c r="E123" s="24"/>
      <c r="F123" s="24"/>
    </row>
    <row r="124" spans="1:6" hidden="1" x14ac:dyDescent="0.25">
      <c r="A124" s="190"/>
      <c r="B124" s="24"/>
      <c r="C124" s="24"/>
      <c r="D124" s="24"/>
      <c r="E124" s="24"/>
      <c r="F124" s="24"/>
    </row>
    <row r="125" spans="1:6" hidden="1" x14ac:dyDescent="0.25">
      <c r="A125" s="190"/>
      <c r="B125" s="24"/>
      <c r="C125" s="24"/>
      <c r="D125" s="24"/>
      <c r="E125" s="24"/>
      <c r="F125" s="24"/>
    </row>
    <row r="126" spans="1:6" hidden="1" x14ac:dyDescent="0.25">
      <c r="A126" s="190"/>
      <c r="B126" s="24"/>
      <c r="C126" s="24"/>
      <c r="D126" s="24"/>
      <c r="E126" s="24"/>
      <c r="F126" s="24"/>
    </row>
    <row r="127" spans="1:6" hidden="1" x14ac:dyDescent="0.25">
      <c r="A127" s="190"/>
      <c r="B127" s="24"/>
      <c r="C127" s="24"/>
      <c r="D127" s="24"/>
      <c r="E127" s="24"/>
      <c r="F127" s="24"/>
    </row>
    <row r="128" spans="1:6" hidden="1" x14ac:dyDescent="0.25">
      <c r="A128" s="190"/>
      <c r="B128" s="24"/>
      <c r="C128" s="24"/>
      <c r="D128" s="24"/>
      <c r="E128" s="24"/>
      <c r="F128" s="24"/>
    </row>
    <row r="129" spans="1:6" hidden="1" x14ac:dyDescent="0.25">
      <c r="A129" s="190"/>
      <c r="B129" s="24"/>
      <c r="C129" s="24"/>
      <c r="D129" s="24"/>
      <c r="E129" s="24"/>
      <c r="F129" s="24"/>
    </row>
    <row r="130" spans="1:6" hidden="1" x14ac:dyDescent="0.25">
      <c r="A130" s="190"/>
      <c r="B130" s="24"/>
      <c r="C130" s="24"/>
      <c r="D130" s="24"/>
      <c r="E130" s="24"/>
      <c r="F130" s="24"/>
    </row>
    <row r="131" spans="1:6" hidden="1" x14ac:dyDescent="0.25">
      <c r="A131" s="190"/>
      <c r="B131" s="24"/>
      <c r="C131" s="24"/>
      <c r="D131" s="24"/>
      <c r="E131" s="24"/>
      <c r="F131" s="24"/>
    </row>
    <row r="132" spans="1:6" hidden="1" x14ac:dyDescent="0.25">
      <c r="A132" s="190"/>
      <c r="B132" s="24"/>
      <c r="C132" s="24"/>
      <c r="D132" s="24"/>
      <c r="E132" s="24"/>
      <c r="F132" s="24"/>
    </row>
    <row r="133" spans="1:6" hidden="1" x14ac:dyDescent="0.25">
      <c r="A133" s="190"/>
      <c r="B133" s="24"/>
      <c r="C133" s="24"/>
      <c r="D133" s="24"/>
      <c r="E133" s="24"/>
      <c r="F133" s="24"/>
    </row>
    <row r="134" spans="1:6" hidden="1" x14ac:dyDescent="0.25">
      <c r="A134" s="190"/>
      <c r="B134" s="24"/>
      <c r="C134" s="24"/>
      <c r="D134" s="24"/>
      <c r="E134" s="24"/>
      <c r="F134" s="24"/>
    </row>
    <row r="135" spans="1:6" hidden="1" x14ac:dyDescent="0.25">
      <c r="A135" s="190"/>
      <c r="B135" s="24"/>
      <c r="C135" s="24"/>
      <c r="D135" s="24"/>
      <c r="E135" s="24"/>
      <c r="F135" s="24"/>
    </row>
    <row r="136" spans="1:6" hidden="1" x14ac:dyDescent="0.25">
      <c r="A136" s="190"/>
      <c r="B136" s="24"/>
      <c r="C136" s="24"/>
      <c r="D136" s="24"/>
      <c r="E136" s="24"/>
      <c r="F136" s="24"/>
    </row>
    <row r="137" spans="1:6" hidden="1" x14ac:dyDescent="0.25">
      <c r="A137" s="190"/>
      <c r="B137" s="24"/>
      <c r="C137" s="24"/>
      <c r="D137" s="24"/>
      <c r="E137" s="24"/>
      <c r="F137" s="24"/>
    </row>
    <row r="138" spans="1:6" hidden="1" x14ac:dyDescent="0.25">
      <c r="A138" s="190"/>
      <c r="B138" s="24"/>
      <c r="C138" s="24"/>
      <c r="D138" s="24"/>
      <c r="E138" s="24"/>
      <c r="F138" s="24"/>
    </row>
    <row r="139" spans="1:6" hidden="1" x14ac:dyDescent="0.25">
      <c r="A139" s="190"/>
      <c r="B139" s="24"/>
      <c r="C139" s="24"/>
      <c r="D139" s="24"/>
      <c r="E139" s="24"/>
      <c r="F139" s="24"/>
    </row>
    <row r="140" spans="1:6" hidden="1" x14ac:dyDescent="0.25">
      <c r="A140" s="190"/>
      <c r="B140" s="24"/>
      <c r="C140" s="24"/>
      <c r="D140" s="24"/>
      <c r="E140" s="24"/>
      <c r="F140" s="24"/>
    </row>
    <row r="141" spans="1:6" hidden="1" x14ac:dyDescent="0.25">
      <c r="A141" s="190"/>
      <c r="B141" s="24"/>
      <c r="C141" s="24"/>
      <c r="D141" s="24"/>
      <c r="E141" s="24"/>
      <c r="F141" s="24"/>
    </row>
    <row r="142" spans="1:6" hidden="1" x14ac:dyDescent="0.25">
      <c r="A142" s="190"/>
      <c r="B142" s="24"/>
      <c r="C142" s="24"/>
      <c r="D142" s="24"/>
      <c r="E142" s="24"/>
      <c r="F142" s="24"/>
    </row>
    <row r="143" spans="1:6" hidden="1" x14ac:dyDescent="0.25">
      <c r="A143" s="190"/>
      <c r="B143" s="24"/>
      <c r="C143" s="24"/>
      <c r="D143" s="24"/>
      <c r="E143" s="24"/>
      <c r="F143" s="24"/>
    </row>
    <row r="144" spans="1:6" hidden="1" x14ac:dyDescent="0.25">
      <c r="A144" s="190"/>
      <c r="B144" s="24"/>
      <c r="C144" s="24"/>
      <c r="D144" s="24"/>
      <c r="E144" s="24"/>
      <c r="F144" s="24"/>
    </row>
    <row r="145" spans="1:6" hidden="1" x14ac:dyDescent="0.25">
      <c r="A145" s="190"/>
      <c r="B145" s="24"/>
      <c r="C145" s="24"/>
      <c r="D145" s="24"/>
      <c r="E145" s="24"/>
      <c r="F145" s="24"/>
    </row>
    <row r="146" spans="1:6" hidden="1" x14ac:dyDescent="0.25">
      <c r="A146" s="190"/>
      <c r="B146" s="24"/>
      <c r="C146" s="24"/>
      <c r="D146" s="24"/>
      <c r="E146" s="24"/>
      <c r="F146" s="24"/>
    </row>
    <row r="147" spans="1:6" hidden="1" x14ac:dyDescent="0.25">
      <c r="A147" s="190"/>
      <c r="B147" s="24"/>
      <c r="C147" s="24"/>
      <c r="D147" s="24"/>
      <c r="E147" s="24"/>
      <c r="F147" s="24"/>
    </row>
    <row r="148" spans="1:6" hidden="1" x14ac:dyDescent="0.25">
      <c r="A148" s="190"/>
      <c r="B148" s="24"/>
      <c r="C148" s="24"/>
      <c r="D148" s="24"/>
      <c r="E148" s="24"/>
      <c r="F148" s="24"/>
    </row>
    <row r="149" spans="1:6" hidden="1" x14ac:dyDescent="0.25">
      <c r="A149" s="190"/>
      <c r="B149" s="24"/>
      <c r="C149" s="24"/>
      <c r="D149" s="24"/>
      <c r="E149" s="24"/>
      <c r="F149" s="24"/>
    </row>
    <row r="150" spans="1:6" hidden="1" x14ac:dyDescent="0.25">
      <c r="A150" s="190"/>
      <c r="B150" s="24"/>
      <c r="C150" s="24"/>
      <c r="D150" s="24"/>
      <c r="E150" s="24"/>
      <c r="F150" s="24"/>
    </row>
    <row r="151" spans="1:6" hidden="1" x14ac:dyDescent="0.25">
      <c r="A151" s="190"/>
      <c r="B151" s="24"/>
      <c r="C151" s="24"/>
      <c r="D151" s="24"/>
      <c r="E151" s="24"/>
      <c r="F151" s="24"/>
    </row>
    <row r="152" spans="1:6" hidden="1" x14ac:dyDescent="0.25">
      <c r="A152" s="190"/>
      <c r="B152" s="24"/>
      <c r="C152" s="24"/>
      <c r="D152" s="24"/>
      <c r="E152" s="24"/>
      <c r="F152" s="24"/>
    </row>
    <row r="153" spans="1:6" hidden="1" x14ac:dyDescent="0.25">
      <c r="A153" s="190"/>
      <c r="B153" s="24"/>
      <c r="C153" s="24"/>
      <c r="D153" s="24"/>
      <c r="E153" s="24"/>
      <c r="F153" s="24"/>
    </row>
    <row r="154" spans="1:6" hidden="1" x14ac:dyDescent="0.25">
      <c r="A154" s="190"/>
      <c r="B154" s="24"/>
      <c r="C154" s="24"/>
      <c r="D154" s="24"/>
      <c r="E154" s="24"/>
      <c r="F154" s="24"/>
    </row>
    <row r="155" spans="1:6" hidden="1" x14ac:dyDescent="0.25">
      <c r="A155" s="190"/>
      <c r="B155" s="24"/>
      <c r="C155" s="24"/>
      <c r="D155" s="24"/>
      <c r="E155" s="24"/>
      <c r="F155" s="24"/>
    </row>
    <row r="156" spans="1:6" hidden="1" x14ac:dyDescent="0.25">
      <c r="A156" s="190"/>
      <c r="B156" s="24"/>
      <c r="C156" s="24"/>
      <c r="D156" s="24"/>
      <c r="E156" s="24"/>
      <c r="F156" s="24"/>
    </row>
    <row r="157" spans="1:6" hidden="1" x14ac:dyDescent="0.25">
      <c r="A157" s="190"/>
      <c r="B157" s="24"/>
      <c r="C157" s="24"/>
      <c r="D157" s="24"/>
      <c r="E157" s="24"/>
      <c r="F157" s="24"/>
    </row>
    <row r="158" spans="1:6" hidden="1" x14ac:dyDescent="0.25">
      <c r="A158" s="190"/>
      <c r="B158" s="24"/>
      <c r="C158" s="24"/>
      <c r="D158" s="24"/>
      <c r="E158" s="24"/>
      <c r="F158" s="24"/>
    </row>
    <row r="159" spans="1:6" hidden="1" x14ac:dyDescent="0.25">
      <c r="A159" s="190"/>
      <c r="B159" s="24"/>
      <c r="C159" s="24"/>
      <c r="D159" s="24"/>
      <c r="E159" s="24"/>
      <c r="F159" s="24"/>
    </row>
    <row r="160" spans="1:6" hidden="1" x14ac:dyDescent="0.25">
      <c r="A160" s="190"/>
      <c r="B160" s="24"/>
      <c r="C160" s="24"/>
      <c r="D160" s="24"/>
      <c r="E160" s="24"/>
      <c r="F160" s="24"/>
    </row>
    <row r="161" spans="1:6" hidden="1" x14ac:dyDescent="0.25">
      <c r="A161" s="190"/>
      <c r="B161" s="24"/>
      <c r="C161" s="24"/>
      <c r="D161" s="24"/>
      <c r="E161" s="24"/>
      <c r="F161" s="24"/>
    </row>
    <row r="162" spans="1:6" hidden="1" x14ac:dyDescent="0.25">
      <c r="A162" s="190"/>
      <c r="B162" s="24"/>
      <c r="C162" s="24"/>
      <c r="D162" s="24"/>
      <c r="E162" s="24"/>
      <c r="F162" s="24"/>
    </row>
    <row r="163" spans="1:6" hidden="1" x14ac:dyDescent="0.25">
      <c r="A163" s="190"/>
      <c r="B163" s="24"/>
      <c r="C163" s="24"/>
      <c r="D163" s="24"/>
      <c r="E163" s="24"/>
      <c r="F163" s="24"/>
    </row>
    <row r="164" spans="1:6" hidden="1" x14ac:dyDescent="0.25">
      <c r="A164" s="190"/>
      <c r="B164" s="24"/>
      <c r="C164" s="24"/>
      <c r="D164" s="24"/>
      <c r="E164" s="24"/>
      <c r="F164" s="24"/>
    </row>
    <row r="165" spans="1:6" hidden="1" x14ac:dyDescent="0.25">
      <c r="A165" s="190"/>
      <c r="B165" s="24"/>
      <c r="C165" s="24"/>
      <c r="D165" s="24"/>
      <c r="E165" s="24"/>
      <c r="F165" s="24"/>
    </row>
    <row r="166" spans="1:6" hidden="1" x14ac:dyDescent="0.25">
      <c r="A166" s="190"/>
      <c r="B166" s="24"/>
      <c r="C166" s="24"/>
      <c r="D166" s="24"/>
      <c r="E166" s="24"/>
      <c r="F166" s="24"/>
    </row>
    <row r="167" spans="1:6" hidden="1" x14ac:dyDescent="0.25">
      <c r="A167" s="190"/>
      <c r="B167" s="24"/>
      <c r="C167" s="24"/>
      <c r="D167" s="24"/>
      <c r="E167" s="24"/>
      <c r="F167" s="24"/>
    </row>
    <row r="168" spans="1:6" hidden="1" x14ac:dyDescent="0.25">
      <c r="A168" s="190"/>
      <c r="B168" s="24"/>
      <c r="C168" s="24"/>
      <c r="D168" s="24"/>
      <c r="E168" s="24"/>
      <c r="F168" s="24"/>
    </row>
    <row r="169" spans="1:6" hidden="1" x14ac:dyDescent="0.25">
      <c r="A169" s="190"/>
      <c r="B169" s="24"/>
      <c r="C169" s="24"/>
      <c r="D169" s="24"/>
      <c r="E169" s="24"/>
      <c r="F169" s="24"/>
    </row>
    <row r="170" spans="1:6" hidden="1" x14ac:dyDescent="0.25">
      <c r="A170" s="190"/>
      <c r="B170" s="24"/>
      <c r="C170" s="24"/>
      <c r="D170" s="24"/>
      <c r="E170" s="24"/>
      <c r="F170" s="24"/>
    </row>
    <row r="171" spans="1:6" hidden="1" x14ac:dyDescent="0.25">
      <c r="A171" s="190"/>
      <c r="B171" s="24"/>
      <c r="C171" s="24"/>
      <c r="D171" s="24"/>
      <c r="E171" s="24"/>
      <c r="F171" s="24"/>
    </row>
    <row r="172" spans="1:6" hidden="1" x14ac:dyDescent="0.25">
      <c r="A172" s="190"/>
      <c r="B172" s="24"/>
      <c r="C172" s="24"/>
      <c r="D172" s="24"/>
      <c r="E172" s="24"/>
      <c r="F172" s="24"/>
    </row>
    <row r="173" spans="1:6" hidden="1" x14ac:dyDescent="0.25">
      <c r="A173" s="190"/>
      <c r="B173" s="24"/>
      <c r="C173" s="24"/>
      <c r="D173" s="24"/>
      <c r="E173" s="24"/>
      <c r="F173" s="24"/>
    </row>
    <row r="174" spans="1:6" hidden="1" x14ac:dyDescent="0.25">
      <c r="A174" s="190"/>
      <c r="B174" s="24"/>
      <c r="C174" s="24"/>
      <c r="D174" s="24"/>
      <c r="E174" s="24"/>
      <c r="F174" s="24"/>
    </row>
    <row r="175" spans="1:6" hidden="1" x14ac:dyDescent="0.25">
      <c r="A175" s="190"/>
      <c r="B175" s="24"/>
      <c r="C175" s="24"/>
      <c r="D175" s="24"/>
      <c r="E175" s="24"/>
      <c r="F175" s="24"/>
    </row>
    <row r="176" spans="1:6" hidden="1" x14ac:dyDescent="0.25">
      <c r="A176" s="190"/>
      <c r="B176" s="24"/>
      <c r="C176" s="24"/>
      <c r="D176" s="24"/>
      <c r="E176" s="24"/>
      <c r="F176" s="24"/>
    </row>
    <row r="177" spans="1:6" hidden="1" x14ac:dyDescent="0.25">
      <c r="A177" s="190"/>
      <c r="B177" s="24"/>
      <c r="C177" s="24"/>
      <c r="D177" s="24"/>
      <c r="E177" s="24"/>
      <c r="F177" s="24"/>
    </row>
    <row r="178" spans="1:6" hidden="1" x14ac:dyDescent="0.25">
      <c r="A178" s="190"/>
      <c r="B178" s="24"/>
      <c r="C178" s="24"/>
      <c r="D178" s="24"/>
      <c r="E178" s="24"/>
      <c r="F178" s="24"/>
    </row>
    <row r="179" spans="1:6" hidden="1" x14ac:dyDescent="0.25">
      <c r="A179" s="190"/>
      <c r="B179" s="24"/>
      <c r="C179" s="24"/>
      <c r="D179" s="24"/>
      <c r="E179" s="24"/>
      <c r="F179" s="24"/>
    </row>
    <row r="180" spans="1:6" hidden="1" x14ac:dyDescent="0.25">
      <c r="A180" s="190"/>
      <c r="B180" s="24"/>
      <c r="C180" s="24"/>
      <c r="D180" s="24"/>
      <c r="E180" s="24"/>
      <c r="F180" s="24"/>
    </row>
    <row r="181" spans="1:6" hidden="1" x14ac:dyDescent="0.25">
      <c r="A181" s="190"/>
      <c r="B181" s="24"/>
      <c r="C181" s="24"/>
      <c r="D181" s="24"/>
      <c r="E181" s="24"/>
      <c r="F181" s="24"/>
    </row>
    <row r="182" spans="1:6" hidden="1" x14ac:dyDescent="0.25">
      <c r="A182" s="190"/>
      <c r="B182" s="24"/>
      <c r="C182" s="24"/>
      <c r="D182" s="24"/>
      <c r="E182" s="24"/>
      <c r="F182" s="24"/>
    </row>
    <row r="183" spans="1:6" hidden="1" x14ac:dyDescent="0.25">
      <c r="A183" s="190"/>
      <c r="B183" s="24"/>
      <c r="C183" s="24"/>
      <c r="D183" s="24"/>
      <c r="E183" s="24"/>
      <c r="F183" s="24"/>
    </row>
    <row r="184" spans="1:6" hidden="1" x14ac:dyDescent="0.25">
      <c r="A184" s="190"/>
      <c r="B184" s="24"/>
      <c r="C184" s="24"/>
      <c r="D184" s="24"/>
      <c r="E184" s="24"/>
      <c r="F184" s="24"/>
    </row>
    <row r="185" spans="1:6" hidden="1" x14ac:dyDescent="0.25">
      <c r="A185" s="190"/>
      <c r="B185" s="24"/>
      <c r="C185" s="24"/>
      <c r="D185" s="24"/>
      <c r="E185" s="24"/>
      <c r="F185" s="24"/>
    </row>
    <row r="186" spans="1:6" hidden="1" x14ac:dyDescent="0.25">
      <c r="A186" s="190"/>
      <c r="B186" s="24"/>
      <c r="C186" s="24"/>
      <c r="D186" s="24"/>
      <c r="E186" s="24"/>
      <c r="F186" s="24"/>
    </row>
    <row r="187" spans="1:6" hidden="1" x14ac:dyDescent="0.25">
      <c r="A187" s="190"/>
      <c r="B187" s="24"/>
      <c r="C187" s="24"/>
      <c r="D187" s="24"/>
      <c r="E187" s="24"/>
      <c r="F187" s="24"/>
    </row>
    <row r="188" spans="1:6" hidden="1" x14ac:dyDescent="0.25">
      <c r="A188" s="190"/>
      <c r="B188" s="24"/>
      <c r="C188" s="24"/>
      <c r="D188" s="24"/>
      <c r="E188" s="24"/>
      <c r="F188" s="24"/>
    </row>
    <row r="189" spans="1:6" hidden="1" x14ac:dyDescent="0.25">
      <c r="A189" s="190"/>
      <c r="B189" s="24"/>
      <c r="C189" s="24"/>
      <c r="D189" s="24"/>
      <c r="E189" s="24"/>
      <c r="F189" s="24"/>
    </row>
    <row r="190" spans="1:6" hidden="1" x14ac:dyDescent="0.25">
      <c r="A190" s="190"/>
      <c r="B190" s="24"/>
      <c r="C190" s="24"/>
      <c r="D190" s="24"/>
      <c r="E190" s="24"/>
      <c r="F190" s="24"/>
    </row>
    <row r="191" spans="1:6" hidden="1" x14ac:dyDescent="0.25">
      <c r="A191" s="190"/>
      <c r="B191" s="24"/>
      <c r="C191" s="24"/>
      <c r="D191" s="24"/>
      <c r="E191" s="24"/>
      <c r="F191" s="24"/>
    </row>
    <row r="192" spans="1:6" hidden="1" x14ac:dyDescent="0.25">
      <c r="A192" s="190"/>
      <c r="B192" s="24"/>
      <c r="C192" s="24"/>
      <c r="D192" s="24"/>
      <c r="E192" s="24"/>
      <c r="F192" s="24"/>
    </row>
    <row r="193" spans="1:6" hidden="1" x14ac:dyDescent="0.25">
      <c r="A193" s="190"/>
      <c r="B193" s="24"/>
      <c r="C193" s="24"/>
      <c r="D193" s="24"/>
      <c r="E193" s="24"/>
      <c r="F193" s="24"/>
    </row>
    <row r="194" spans="1:6" hidden="1" x14ac:dyDescent="0.25">
      <c r="A194" s="190"/>
      <c r="B194" s="24"/>
      <c r="C194" s="24"/>
      <c r="D194" s="24"/>
      <c r="E194" s="24"/>
      <c r="F194" s="24"/>
    </row>
    <row r="195" spans="1:6" hidden="1" x14ac:dyDescent="0.25">
      <c r="A195" s="190"/>
      <c r="B195" s="24"/>
      <c r="C195" s="24"/>
      <c r="D195" s="24"/>
      <c r="E195" s="24"/>
      <c r="F195" s="24"/>
    </row>
    <row r="196" spans="1:6" hidden="1" x14ac:dyDescent="0.25">
      <c r="A196" s="190"/>
      <c r="B196" s="24"/>
      <c r="C196" s="24"/>
      <c r="D196" s="24"/>
      <c r="E196" s="24"/>
      <c r="F196" s="24"/>
    </row>
    <row r="197" spans="1:6" hidden="1" x14ac:dyDescent="0.25">
      <c r="A197" s="190"/>
      <c r="B197" s="24"/>
      <c r="C197" s="24"/>
      <c r="D197" s="24"/>
      <c r="E197" s="24"/>
      <c r="F197" s="24"/>
    </row>
    <row r="198" spans="1:6" hidden="1" x14ac:dyDescent="0.25">
      <c r="A198" s="190"/>
      <c r="B198" s="24"/>
      <c r="C198" s="24"/>
      <c r="D198" s="24"/>
      <c r="E198" s="24"/>
      <c r="F198" s="24"/>
    </row>
    <row r="199" spans="1:6" hidden="1" x14ac:dyDescent="0.25">
      <c r="A199" s="190"/>
      <c r="B199" s="24"/>
      <c r="C199" s="24"/>
      <c r="D199" s="24"/>
      <c r="E199" s="24"/>
      <c r="F199" s="24"/>
    </row>
    <row r="200" spans="1:6" hidden="1" x14ac:dyDescent="0.25">
      <c r="A200" s="190"/>
      <c r="B200" s="24"/>
      <c r="C200" s="24"/>
      <c r="D200" s="24"/>
      <c r="E200" s="24"/>
      <c r="F200" s="24"/>
    </row>
    <row r="201" spans="1:6" hidden="1" x14ac:dyDescent="0.25">
      <c r="A201" s="190"/>
      <c r="B201" s="24"/>
      <c r="C201" s="24"/>
      <c r="D201" s="24"/>
      <c r="E201" s="24"/>
      <c r="F201" s="24"/>
    </row>
    <row r="202" spans="1:6" hidden="1" x14ac:dyDescent="0.25">
      <c r="A202" s="190"/>
      <c r="B202" s="24"/>
      <c r="C202" s="24"/>
      <c r="D202" s="24"/>
      <c r="E202" s="24"/>
      <c r="F202" s="24"/>
    </row>
    <row r="203" spans="1:6" hidden="1" x14ac:dyDescent="0.25">
      <c r="A203" s="190"/>
      <c r="B203" s="24"/>
      <c r="C203" s="24"/>
      <c r="D203" s="24"/>
      <c r="E203" s="24"/>
      <c r="F203" s="24"/>
    </row>
    <row r="204" spans="1:6" hidden="1" x14ac:dyDescent="0.25">
      <c r="B204" s="24"/>
      <c r="C204" s="24"/>
      <c r="D204" s="24"/>
      <c r="E204" s="24"/>
      <c r="F204" s="24"/>
    </row>
    <row r="205" spans="1:6" hidden="1" x14ac:dyDescent="0.25">
      <c r="B205" s="24"/>
      <c r="C205" s="24"/>
      <c r="D205" s="24"/>
      <c r="E205" s="24"/>
      <c r="F205" s="24"/>
    </row>
    <row r="206" spans="1:6" hidden="1" x14ac:dyDescent="0.25">
      <c r="B206" s="24"/>
      <c r="C206" s="24"/>
      <c r="D206" s="24"/>
      <c r="E206" s="24"/>
      <c r="F206" s="24"/>
    </row>
    <row r="207" spans="1:6" hidden="1" x14ac:dyDescent="0.25">
      <c r="B207" s="24"/>
      <c r="C207" s="24"/>
      <c r="D207" s="24"/>
      <c r="E207" s="24"/>
      <c r="F207" s="24"/>
    </row>
    <row r="208" spans="1:6" hidden="1" x14ac:dyDescent="0.25">
      <c r="B208" s="24"/>
      <c r="C208" s="24"/>
      <c r="D208" s="24"/>
      <c r="E208" s="24"/>
      <c r="F208" s="24"/>
    </row>
    <row r="209" spans="2:6" hidden="1" x14ac:dyDescent="0.25">
      <c r="B209" s="24"/>
      <c r="C209" s="24"/>
      <c r="D209" s="24"/>
      <c r="E209" s="24"/>
      <c r="F209" s="24"/>
    </row>
    <row r="210" spans="2:6" hidden="1" x14ac:dyDescent="0.25">
      <c r="B210" s="24"/>
      <c r="C210" s="24"/>
      <c r="D210" s="24"/>
      <c r="E210" s="24"/>
      <c r="F210" s="24"/>
    </row>
    <row r="211" spans="2:6" hidden="1" x14ac:dyDescent="0.25">
      <c r="B211" s="24"/>
      <c r="C211" s="24"/>
      <c r="D211" s="24"/>
      <c r="E211" s="24"/>
      <c r="F211" s="24"/>
    </row>
    <row r="212" spans="2:6" hidden="1" x14ac:dyDescent="0.25">
      <c r="B212" s="24"/>
      <c r="C212" s="24"/>
      <c r="D212" s="24"/>
      <c r="E212" s="24"/>
      <c r="F212" s="24"/>
    </row>
    <row r="213" spans="2:6" hidden="1" x14ac:dyDescent="0.25">
      <c r="B213" s="24"/>
      <c r="C213" s="24"/>
      <c r="D213" s="24"/>
      <c r="E213" s="24"/>
      <c r="F213" s="24"/>
    </row>
    <row r="214" spans="2:6" hidden="1" x14ac:dyDescent="0.25">
      <c r="B214" s="24"/>
      <c r="C214" s="24"/>
      <c r="D214" s="24"/>
      <c r="E214" s="24"/>
      <c r="F214" s="24"/>
    </row>
    <row r="215" spans="2:6" hidden="1" x14ac:dyDescent="0.25">
      <c r="B215" s="24"/>
      <c r="C215" s="24"/>
      <c r="D215" s="24"/>
      <c r="E215" s="24"/>
      <c r="F215" s="24"/>
    </row>
    <row r="216" spans="2:6" hidden="1" x14ac:dyDescent="0.25">
      <c r="B216" s="24"/>
      <c r="C216" s="24"/>
      <c r="D216" s="24"/>
      <c r="E216" s="24"/>
      <c r="F216" s="24"/>
    </row>
    <row r="217" spans="2:6" hidden="1" x14ac:dyDescent="0.25">
      <c r="B217" s="24"/>
      <c r="C217" s="24"/>
      <c r="D217" s="24"/>
      <c r="E217" s="24"/>
      <c r="F217" s="24"/>
    </row>
    <row r="218" spans="2:6" hidden="1" x14ac:dyDescent="0.25">
      <c r="B218" s="24"/>
      <c r="C218" s="24"/>
      <c r="D218" s="24"/>
      <c r="E218" s="24"/>
      <c r="F218" s="24"/>
    </row>
    <row r="219" spans="2:6" hidden="1" x14ac:dyDescent="0.25">
      <c r="B219" s="24"/>
      <c r="C219" s="24"/>
      <c r="D219" s="24"/>
      <c r="E219" s="24"/>
      <c r="F219" s="24"/>
    </row>
    <row r="220" spans="2:6" hidden="1" x14ac:dyDescent="0.25">
      <c r="B220" s="24"/>
      <c r="C220" s="24"/>
      <c r="D220" s="24"/>
      <c r="E220" s="24"/>
      <c r="F220" s="24"/>
    </row>
    <row r="221" spans="2:6" hidden="1" x14ac:dyDescent="0.25">
      <c r="B221" s="24"/>
      <c r="C221" s="24"/>
      <c r="D221" s="24"/>
      <c r="E221" s="24"/>
      <c r="F221" s="24"/>
    </row>
    <row r="222" spans="2:6" hidden="1" x14ac:dyDescent="0.25">
      <c r="B222" s="24"/>
      <c r="C222" s="24"/>
      <c r="D222" s="24"/>
      <c r="E222" s="24"/>
      <c r="F222" s="24"/>
    </row>
    <row r="223" spans="2:6" hidden="1" x14ac:dyDescent="0.25">
      <c r="B223" s="24"/>
      <c r="C223" s="24"/>
      <c r="D223" s="24"/>
      <c r="E223" s="24"/>
      <c r="F223" s="24"/>
    </row>
    <row r="224" spans="2:6" hidden="1" x14ac:dyDescent="0.25">
      <c r="B224" s="24"/>
      <c r="C224" s="24"/>
      <c r="D224" s="24"/>
      <c r="E224" s="24"/>
      <c r="F224" s="24"/>
    </row>
    <row r="225" spans="2:6" hidden="1" x14ac:dyDescent="0.25">
      <c r="B225" s="24"/>
      <c r="C225" s="24"/>
      <c r="D225" s="24"/>
      <c r="E225" s="24"/>
      <c r="F225" s="24"/>
    </row>
    <row r="226" spans="2:6" hidden="1" x14ac:dyDescent="0.25">
      <c r="B226" s="24"/>
      <c r="C226" s="24"/>
      <c r="D226" s="24"/>
      <c r="E226" s="24"/>
      <c r="F226" s="24"/>
    </row>
    <row r="227" spans="2:6" hidden="1" x14ac:dyDescent="0.25">
      <c r="B227" s="24"/>
      <c r="C227" s="24"/>
      <c r="D227" s="24"/>
      <c r="E227" s="24"/>
      <c r="F227" s="24"/>
    </row>
    <row r="228" spans="2:6" hidden="1" x14ac:dyDescent="0.25">
      <c r="B228" s="24"/>
      <c r="C228" s="24"/>
      <c r="D228" s="24"/>
      <c r="E228" s="24"/>
      <c r="F228" s="24"/>
    </row>
    <row r="229" spans="2:6" hidden="1" x14ac:dyDescent="0.25">
      <c r="B229" s="24"/>
      <c r="C229" s="24"/>
      <c r="D229" s="24"/>
      <c r="E229" s="24"/>
      <c r="F229" s="24"/>
    </row>
    <row r="230" spans="2:6" hidden="1" x14ac:dyDescent="0.25">
      <c r="B230" s="24"/>
      <c r="C230" s="24"/>
      <c r="D230" s="24"/>
      <c r="E230" s="24"/>
      <c r="F230" s="24"/>
    </row>
    <row r="231" spans="2:6" hidden="1" x14ac:dyDescent="0.25">
      <c r="B231" s="24"/>
      <c r="C231" s="24"/>
      <c r="D231" s="24"/>
      <c r="E231" s="24"/>
      <c r="F231" s="24"/>
    </row>
    <row r="232" spans="2:6" hidden="1" x14ac:dyDescent="0.25">
      <c r="B232" s="24"/>
      <c r="C232" s="24"/>
      <c r="D232" s="24"/>
      <c r="E232" s="24"/>
      <c r="F232" s="24"/>
    </row>
    <row r="233" spans="2:6" hidden="1" x14ac:dyDescent="0.25">
      <c r="B233" s="24"/>
      <c r="C233" s="24"/>
      <c r="D233" s="24"/>
      <c r="E233" s="24"/>
      <c r="F233" s="24"/>
    </row>
    <row r="234" spans="2:6" hidden="1" x14ac:dyDescent="0.25">
      <c r="B234" s="24"/>
      <c r="C234" s="24"/>
      <c r="D234" s="24"/>
      <c r="E234" s="24"/>
      <c r="F234" s="24"/>
    </row>
    <row r="235" spans="2:6" hidden="1" x14ac:dyDescent="0.25">
      <c r="B235" s="24"/>
      <c r="C235" s="24"/>
      <c r="D235" s="24"/>
      <c r="E235" s="24"/>
      <c r="F235" s="24"/>
    </row>
    <row r="236" spans="2:6" hidden="1" x14ac:dyDescent="0.25">
      <c r="B236" s="24"/>
      <c r="C236" s="24"/>
      <c r="D236" s="24"/>
      <c r="E236" s="24"/>
      <c r="F236" s="24"/>
    </row>
    <row r="237" spans="2:6" hidden="1" x14ac:dyDescent="0.25">
      <c r="B237" s="24"/>
      <c r="C237" s="24"/>
      <c r="D237" s="24"/>
      <c r="E237" s="24"/>
      <c r="F237" s="24"/>
    </row>
    <row r="238" spans="2:6" hidden="1" x14ac:dyDescent="0.25">
      <c r="B238" s="24"/>
      <c r="C238" s="24"/>
      <c r="D238" s="24"/>
      <c r="E238" s="24"/>
      <c r="F238" s="24"/>
    </row>
    <row r="239" spans="2:6" hidden="1" x14ac:dyDescent="0.25">
      <c r="B239" s="24"/>
      <c r="C239" s="24"/>
      <c r="D239" s="24"/>
      <c r="E239" s="24"/>
      <c r="F239" s="24"/>
    </row>
    <row r="240" spans="2:6" hidden="1" x14ac:dyDescent="0.25">
      <c r="B240" s="24"/>
      <c r="C240" s="24"/>
      <c r="D240" s="24"/>
      <c r="E240" s="24"/>
      <c r="F240" s="24"/>
    </row>
    <row r="241" spans="2:6" hidden="1" x14ac:dyDescent="0.25">
      <c r="B241" s="24"/>
      <c r="C241" s="24"/>
      <c r="D241" s="24"/>
      <c r="E241" s="24"/>
      <c r="F241" s="24"/>
    </row>
    <row r="242" spans="2:6" hidden="1" x14ac:dyDescent="0.25">
      <c r="B242" s="24"/>
      <c r="C242" s="24"/>
      <c r="D242" s="24"/>
      <c r="E242" s="24"/>
      <c r="F242" s="24"/>
    </row>
    <row r="243" spans="2:6" hidden="1" x14ac:dyDescent="0.25">
      <c r="B243" s="24"/>
      <c r="C243" s="24"/>
      <c r="D243" s="24"/>
      <c r="E243" s="24"/>
      <c r="F243" s="24"/>
    </row>
    <row r="244" spans="2:6" hidden="1" x14ac:dyDescent="0.25">
      <c r="B244" s="24"/>
      <c r="C244" s="24"/>
      <c r="D244" s="24"/>
      <c r="E244" s="24"/>
      <c r="F244" s="24"/>
    </row>
    <row r="245" spans="2:6" hidden="1" x14ac:dyDescent="0.25">
      <c r="B245" s="24"/>
      <c r="C245" s="24"/>
      <c r="D245" s="24"/>
      <c r="E245" s="24"/>
      <c r="F245" s="24"/>
    </row>
    <row r="246" spans="2:6" hidden="1" x14ac:dyDescent="0.25">
      <c r="B246" s="24"/>
      <c r="C246" s="24"/>
      <c r="D246" s="24"/>
      <c r="E246" s="24"/>
      <c r="F246" s="24"/>
    </row>
    <row r="247" spans="2:6" hidden="1" x14ac:dyDescent="0.25">
      <c r="B247" s="24"/>
      <c r="C247" s="24"/>
      <c r="D247" s="24"/>
      <c r="E247" s="24"/>
      <c r="F247" s="24"/>
    </row>
    <row r="248" spans="2:6" hidden="1" x14ac:dyDescent="0.25">
      <c r="B248" s="24"/>
      <c r="C248" s="24"/>
      <c r="D248" s="24"/>
      <c r="E248" s="24"/>
      <c r="F248" s="24"/>
    </row>
    <row r="249" spans="2:6" hidden="1" x14ac:dyDescent="0.25">
      <c r="B249" s="24"/>
      <c r="C249" s="24"/>
      <c r="D249" s="24"/>
      <c r="E249" s="24"/>
      <c r="F249" s="24"/>
    </row>
    <row r="250" spans="2:6" hidden="1" x14ac:dyDescent="0.25"/>
    <row r="251" spans="2:6" hidden="1" x14ac:dyDescent="0.25"/>
    <row r="252" spans="2:6" hidden="1" x14ac:dyDescent="0.25"/>
    <row r="253" spans="2:6" hidden="1" x14ac:dyDescent="0.25"/>
    <row r="254" spans="2:6" hidden="1" x14ac:dyDescent="0.25"/>
    <row r="255" spans="2:6" hidden="1" x14ac:dyDescent="0.25"/>
    <row r="256" spans="2: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sheetData>
  <sheetProtection sheet="1" objects="1" scenarios="1"/>
  <mergeCells count="20">
    <mergeCell ref="B4:F4"/>
    <mergeCell ref="B11:F11"/>
    <mergeCell ref="B16:F16"/>
    <mergeCell ref="A1:F1"/>
    <mergeCell ref="A2:A203"/>
    <mergeCell ref="B2:F2"/>
    <mergeCell ref="B3:F3"/>
    <mergeCell ref="B22:F22"/>
    <mergeCell ref="B23:F23"/>
    <mergeCell ref="B10:F10"/>
    <mergeCell ref="B38:F38"/>
    <mergeCell ref="B87:F87"/>
    <mergeCell ref="B53:F53"/>
    <mergeCell ref="B58:F58"/>
    <mergeCell ref="B65:F65"/>
    <mergeCell ref="B66:F66"/>
    <mergeCell ref="B29:F29"/>
    <mergeCell ref="B30:F30"/>
    <mergeCell ref="B37:F37"/>
    <mergeCell ref="B52:F52"/>
  </mergeCells>
  <conditionalFormatting sqref="B2 B19:B21 C12:C14 F19:F21 B11:F11 B3:F9 B27:C27 B22:F26 B28:F28 B79:F92 B34:C34 F34 B30:F31 B36:F36 C35:F35 B33:F33 B32:D32">
    <cfRule type="expression" dxfId="235" priority="125">
      <formula>$B$2="INTRODUCTION"</formula>
    </cfRule>
  </conditionalFormatting>
  <conditionalFormatting sqref="C84:C85 C90:C92">
    <cfRule type="expression" dxfId="234" priority="122">
      <formula>$B$2="INTRODUCTION"</formula>
    </cfRule>
  </conditionalFormatting>
  <conditionalFormatting sqref="C80 C82">
    <cfRule type="expression" dxfId="233" priority="121">
      <formula>$B$2="INTRODUCTION"</formula>
    </cfRule>
  </conditionalFormatting>
  <conditionalFormatting sqref="A1:F1">
    <cfRule type="expression" dxfId="232" priority="120">
      <formula>$B$2="INTRODUCTION"</formula>
    </cfRule>
  </conditionalFormatting>
  <conditionalFormatting sqref="B2:F2 B22:F22 B87:F87">
    <cfRule type="expression" dxfId="231" priority="119">
      <formula>$B$2="INTRODUCTION"</formula>
    </cfRule>
  </conditionalFormatting>
  <conditionalFormatting sqref="B10:F10">
    <cfRule type="expression" dxfId="230" priority="117">
      <formula>$B$2="INTRODUCTION"</formula>
    </cfRule>
  </conditionalFormatting>
  <conditionalFormatting sqref="B10:F10">
    <cfRule type="expression" dxfId="229" priority="116">
      <formula>$B$2="INTRODUCTION"</formula>
    </cfRule>
  </conditionalFormatting>
  <conditionalFormatting sqref="B15:F17 B18 F18">
    <cfRule type="expression" dxfId="228" priority="107">
      <formula>$B$2="INTRODUCTION"</formula>
    </cfRule>
  </conditionalFormatting>
  <conditionalFormatting sqref="C19">
    <cfRule type="expression" dxfId="227" priority="101">
      <formula>$B$2="INTRODUCTION"</formula>
    </cfRule>
  </conditionalFormatting>
  <conditionalFormatting sqref="C18">
    <cfRule type="expression" dxfId="226" priority="106">
      <formula>$B$2="INTRODUCTION"</formula>
    </cfRule>
  </conditionalFormatting>
  <conditionalFormatting sqref="C18">
    <cfRule type="expression" dxfId="225" priority="105">
      <formula>$B$2="INTRODUCTION"</formula>
    </cfRule>
  </conditionalFormatting>
  <conditionalFormatting sqref="C20">
    <cfRule type="expression" dxfId="224" priority="104">
      <formula>$B$2="INTRODUCTION"</formula>
    </cfRule>
  </conditionalFormatting>
  <conditionalFormatting sqref="C20">
    <cfRule type="expression" dxfId="223" priority="103">
      <formula>$B$2="INTRODUCTION"</formula>
    </cfRule>
  </conditionalFormatting>
  <conditionalFormatting sqref="D18:D20">
    <cfRule type="expression" dxfId="222" priority="102">
      <formula>$B$2="INTRODUCTION"</formula>
    </cfRule>
  </conditionalFormatting>
  <conditionalFormatting sqref="E27">
    <cfRule type="expression" dxfId="221" priority="100">
      <formula>$B$2="INTRODUCTION"</formula>
    </cfRule>
  </conditionalFormatting>
  <conditionalFormatting sqref="E27">
    <cfRule type="expression" dxfId="220" priority="99">
      <formula>$B$2="INTRODUCTION"</formula>
    </cfRule>
  </conditionalFormatting>
  <conditionalFormatting sqref="B37:F37">
    <cfRule type="expression" dxfId="219" priority="94">
      <formula>$B$2="INTRODUCTION"</formula>
    </cfRule>
  </conditionalFormatting>
  <conditionalFormatting sqref="B37:F37">
    <cfRule type="expression" dxfId="218" priority="93">
      <formula>$B$2="INTRODUCTION"</formula>
    </cfRule>
  </conditionalFormatting>
  <conditionalFormatting sqref="B38:F38">
    <cfRule type="expression" dxfId="217" priority="92">
      <formula>$B$2="INTRODUCTION"</formula>
    </cfRule>
  </conditionalFormatting>
  <conditionalFormatting sqref="B39:F39 B41:F41 C40 B47:F47 C46:F46 B49:F49 C48:F48 B51:F51 C50:F50 B45:F45 D43:F44 E40:F40 C42:F42">
    <cfRule type="expression" dxfId="216" priority="91">
      <formula>$B$2="INTRODUCTION"</formula>
    </cfRule>
  </conditionalFormatting>
  <conditionalFormatting sqref="B52:F52">
    <cfRule type="expression" dxfId="215" priority="63">
      <formula>$B$2="INTRODUCTION"</formula>
    </cfRule>
  </conditionalFormatting>
  <conditionalFormatting sqref="B52:F52">
    <cfRule type="expression" dxfId="214" priority="62">
      <formula>$B$2="INTRODUCTION"</formula>
    </cfRule>
  </conditionalFormatting>
  <conditionalFormatting sqref="B53:F53">
    <cfRule type="expression" dxfId="213" priority="61">
      <formula>$B$2="INTRODUCTION"</formula>
    </cfRule>
  </conditionalFormatting>
  <conditionalFormatting sqref="E54">
    <cfRule type="expression" dxfId="212" priority="60">
      <formula>$B$2="INTRODUCTION"</formula>
    </cfRule>
  </conditionalFormatting>
  <conditionalFormatting sqref="E54">
    <cfRule type="expression" dxfId="211" priority="59">
      <formula>$B$2="INTRODUCTION"</formula>
    </cfRule>
  </conditionalFormatting>
  <conditionalFormatting sqref="D54">
    <cfRule type="expression" dxfId="210" priority="58">
      <formula>$B$2="INTRODUCTION"</formula>
    </cfRule>
  </conditionalFormatting>
  <conditionalFormatting sqref="E56">
    <cfRule type="expression" dxfId="209" priority="57">
      <formula>$B$2="INTRODUCTION"</formula>
    </cfRule>
  </conditionalFormatting>
  <conditionalFormatting sqref="E56">
    <cfRule type="expression" dxfId="208" priority="56">
      <formula>$B$2="INTRODUCTION"</formula>
    </cfRule>
  </conditionalFormatting>
  <conditionalFormatting sqref="D74:D75 D77">
    <cfRule type="expression" dxfId="207" priority="46">
      <formula>$B$2="INTRODUCTION"</formula>
    </cfRule>
  </conditionalFormatting>
  <conditionalFormatting sqref="C61:E63">
    <cfRule type="expression" dxfId="206" priority="39">
      <formula>$B$2="INTRODUCTION"</formula>
    </cfRule>
  </conditionalFormatting>
  <conditionalFormatting sqref="B55">
    <cfRule type="expression" dxfId="205" priority="53">
      <formula>$B$2="INTRODUCTION"</formula>
    </cfRule>
  </conditionalFormatting>
  <conditionalFormatting sqref="B58:F58">
    <cfRule type="expression" dxfId="204" priority="52">
      <formula>$B$2="INTRODUCTION"</formula>
    </cfRule>
  </conditionalFormatting>
  <conditionalFormatting sqref="B58:F58">
    <cfRule type="expression" dxfId="203" priority="51">
      <formula>$B$2="INTRODUCTION"</formula>
    </cfRule>
  </conditionalFormatting>
  <conditionalFormatting sqref="B60">
    <cfRule type="expression" dxfId="202" priority="50">
      <formula>$B$2="INTRODUCTION"</formula>
    </cfRule>
  </conditionalFormatting>
  <conditionalFormatting sqref="B65:F65">
    <cfRule type="expression" dxfId="201" priority="49">
      <formula>$B$2="INTRODUCTION"</formula>
    </cfRule>
  </conditionalFormatting>
  <conditionalFormatting sqref="B65:F65">
    <cfRule type="expression" dxfId="200" priority="48">
      <formula>$B$2="INTRODUCTION"</formula>
    </cfRule>
  </conditionalFormatting>
  <conditionalFormatting sqref="B66:F66">
    <cfRule type="expression" dxfId="199" priority="47">
      <formula>$B$2="INTRODUCTION"</formula>
    </cfRule>
  </conditionalFormatting>
  <conditionalFormatting sqref="D77">
    <cfRule type="expression" dxfId="198" priority="40">
      <formula>D77="No - please revisit"</formula>
    </cfRule>
    <cfRule type="expression" dxfId="197" priority="41">
      <formula>D77="Yes"</formula>
    </cfRule>
  </conditionalFormatting>
  <conditionalFormatting sqref="D74">
    <cfRule type="expression" dxfId="196" priority="44">
      <formula>D74="No - please revisit"</formula>
    </cfRule>
    <cfRule type="expression" dxfId="195" priority="45">
      <formula>D74="Yes"</formula>
    </cfRule>
  </conditionalFormatting>
  <conditionalFormatting sqref="D75">
    <cfRule type="expression" dxfId="194" priority="42">
      <formula>D75="No - please revisit"</formula>
    </cfRule>
    <cfRule type="expression" dxfId="193" priority="43">
      <formula>D75="Yes"</formula>
    </cfRule>
  </conditionalFormatting>
  <conditionalFormatting sqref="B77">
    <cfRule type="expression" dxfId="192" priority="15">
      <formula>$B$2="INTRODUCTION"</formula>
    </cfRule>
  </conditionalFormatting>
  <conditionalFormatting sqref="C61:C63">
    <cfRule type="expression" dxfId="191" priority="38">
      <formula>$B$2="INTRODUCTION"</formula>
    </cfRule>
  </conditionalFormatting>
  <conditionalFormatting sqref="D34">
    <cfRule type="expression" dxfId="190" priority="10">
      <formula>$B$2="INTRODUCTION"</formula>
    </cfRule>
  </conditionalFormatting>
  <conditionalFormatting sqref="C68:C71">
    <cfRule type="expression" dxfId="189" priority="37">
      <formula>$B$2="INTRODUCTION"</formula>
    </cfRule>
  </conditionalFormatting>
  <conditionalFormatting sqref="C68:C71">
    <cfRule type="expression" dxfId="188" priority="36">
      <formula>$B$2="INTRODUCTION"</formula>
    </cfRule>
  </conditionalFormatting>
  <conditionalFormatting sqref="E68:E71">
    <cfRule type="expression" dxfId="187" priority="35">
      <formula>$B$2="INTRODUCTION"</formula>
    </cfRule>
  </conditionalFormatting>
  <conditionalFormatting sqref="E68:E71">
    <cfRule type="expression" dxfId="186" priority="34">
      <formula>$B$2="INTRODUCTION"</formula>
    </cfRule>
  </conditionalFormatting>
  <conditionalFormatting sqref="B68:B71">
    <cfRule type="expression" dxfId="185" priority="33">
      <formula>$B$2="INTRODUCTION"</formula>
    </cfRule>
  </conditionalFormatting>
  <conditionalFormatting sqref="D68:D71">
    <cfRule type="expression" dxfId="184" priority="32">
      <formula>$B$2="INTRODUCTION"</formula>
    </cfRule>
  </conditionalFormatting>
  <conditionalFormatting sqref="F68 F70:F71">
    <cfRule type="expression" dxfId="183" priority="31">
      <formula>$B$2="INTRODUCTION"</formula>
    </cfRule>
  </conditionalFormatting>
  <conditionalFormatting sqref="B76 B73">
    <cfRule type="expression" dxfId="182" priority="30">
      <formula>$B$2="INTRODUCTION"</formula>
    </cfRule>
  </conditionalFormatting>
  <conditionalFormatting sqref="B50 B48 B46 B40">
    <cfRule type="expression" dxfId="181" priority="29">
      <formula>$B$2="INTRODUCTION"</formula>
    </cfRule>
  </conditionalFormatting>
  <conditionalFormatting sqref="B43:B44">
    <cfRule type="expression" dxfId="180" priority="28">
      <formula>$B$2="INTRODUCTION"</formula>
    </cfRule>
  </conditionalFormatting>
  <conditionalFormatting sqref="D40">
    <cfRule type="expression" dxfId="179" priority="27">
      <formula>$B$2="INTRODUCTION"</formula>
    </cfRule>
  </conditionalFormatting>
  <conditionalFormatting sqref="C43:C44">
    <cfRule type="expression" dxfId="178" priority="26">
      <formula>$B$2="INTRODUCTION"</formula>
    </cfRule>
  </conditionalFormatting>
  <conditionalFormatting sqref="B42">
    <cfRule type="expression" dxfId="177" priority="25">
      <formula>$B$2="INTRODUCTION"</formula>
    </cfRule>
  </conditionalFormatting>
  <conditionalFormatting sqref="B56">
    <cfRule type="expression" dxfId="176" priority="24">
      <formula>$B$2="INTRODUCTION"</formula>
    </cfRule>
  </conditionalFormatting>
  <conditionalFormatting sqref="F56">
    <cfRule type="expression" dxfId="175" priority="18">
      <formula>$B$2="INTRODUCTION"</formula>
    </cfRule>
  </conditionalFormatting>
  <conditionalFormatting sqref="D12:D14">
    <cfRule type="expression" dxfId="174" priority="20">
      <formula>$B$2="INTRODUCTION"</formula>
    </cfRule>
  </conditionalFormatting>
  <conditionalFormatting sqref="F27">
    <cfRule type="expression" dxfId="173" priority="19">
      <formula>$B$2="INTRODUCTION"</formula>
    </cfRule>
  </conditionalFormatting>
  <conditionalFormatting sqref="F69">
    <cfRule type="expression" dxfId="172" priority="17">
      <formula>$B$2="INTRODUCTION"</formula>
    </cfRule>
  </conditionalFormatting>
  <conditionalFormatting sqref="B74:B75">
    <cfRule type="expression" dxfId="171" priority="16">
      <formula>$B$2="INTRODUCTION"</formula>
    </cfRule>
  </conditionalFormatting>
  <conditionalFormatting sqref="B29:F29">
    <cfRule type="expression" dxfId="170" priority="14">
      <formula>$B$2="INTRODUCTION"</formula>
    </cfRule>
  </conditionalFormatting>
  <conditionalFormatting sqref="B29:F29">
    <cfRule type="expression" dxfId="169" priority="13">
      <formula>$B$2="INTRODUCTION"</formula>
    </cfRule>
  </conditionalFormatting>
  <conditionalFormatting sqref="E34">
    <cfRule type="expression" dxfId="168" priority="12">
      <formula>$B$2="INTRODUCTION"</formula>
    </cfRule>
  </conditionalFormatting>
  <conditionalFormatting sqref="E34">
    <cfRule type="expression" dxfId="167" priority="11">
      <formula>$B$2="INTRODUCTION"</formula>
    </cfRule>
  </conditionalFormatting>
  <conditionalFormatting sqref="F32">
    <cfRule type="expression" dxfId="166" priority="5">
      <formula>$B$2="INTRODUCTION"</formula>
    </cfRule>
  </conditionalFormatting>
  <conditionalFormatting sqref="E32">
    <cfRule type="expression" dxfId="165" priority="4">
      <formula>$B$2="INTRODUCTION"</formula>
    </cfRule>
  </conditionalFormatting>
  <conditionalFormatting sqref="E32">
    <cfRule type="expression" dxfId="164" priority="3">
      <formula>$B$2="INTRODUCTION"</formula>
    </cfRule>
  </conditionalFormatting>
  <conditionalFormatting sqref="B35">
    <cfRule type="expression" dxfId="163" priority="1">
      <formula>$B$2="INTRODUCTION"</formula>
    </cfRule>
  </conditionalFormatting>
  <conditionalFormatting sqref="B35">
    <cfRule type="expression" dxfId="162" priority="2">
      <formula>$B$2="INTRODUCTION"</formula>
    </cfRule>
  </conditionalFormatting>
  <hyperlinks>
    <hyperlink ref="B35" location="Resources!B85" display="Link to Table 10.8"/>
  </hyperlinks>
  <pageMargins left="0.7" right="0.7" top="0.75" bottom="0.75" header="0.3" footer="0.3"/>
  <pageSetup orientation="portrait" verticalDpi="0" r:id="rId1"/>
  <ignoredErrors>
    <ignoredError sqref="E69"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83"/>
  <sheetViews>
    <sheetView zoomScaleNormal="100" workbookViewId="0">
      <selection activeCell="D12" sqref="D12"/>
    </sheetView>
  </sheetViews>
  <sheetFormatPr defaultColWidth="0" defaultRowHeight="15" zeroHeight="1" x14ac:dyDescent="0.25"/>
  <cols>
    <col min="1" max="1" width="6.5703125" style="2" customWidth="1"/>
    <col min="2" max="2" width="24.140625" customWidth="1"/>
    <col min="3" max="3" width="13.85546875" customWidth="1"/>
    <col min="4" max="4" width="24.85546875" customWidth="1"/>
    <col min="5" max="5" width="14" customWidth="1"/>
    <col min="6" max="6" width="6.85546875" customWidth="1"/>
    <col min="7" max="8" width="9.140625" hidden="1" customWidth="1"/>
    <col min="9" max="9" width="22.28515625" hidden="1" customWidth="1"/>
    <col min="10" max="16384" width="9.140625" hidden="1"/>
  </cols>
  <sheetData>
    <row r="1" spans="1:6" s="81" customFormat="1" ht="21" customHeight="1" x14ac:dyDescent="0.3">
      <c r="A1" s="203" t="s">
        <v>118</v>
      </c>
      <c r="B1" s="203"/>
      <c r="C1" s="203"/>
      <c r="D1" s="203"/>
      <c r="E1" s="203"/>
      <c r="F1" s="203"/>
    </row>
    <row r="2" spans="1:6" ht="15" customHeight="1" x14ac:dyDescent="0.25">
      <c r="A2" s="190" t="s">
        <v>110</v>
      </c>
      <c r="B2" s="208" t="e">
        <f>IF(Intro!B29="Please continue to tab 2) Systems 3 &amp; 4", "INTRODUCTION", Intro!B29)</f>
        <v>#N/A</v>
      </c>
      <c r="C2" s="208"/>
      <c r="D2" s="208"/>
      <c r="E2" s="208"/>
      <c r="F2" s="208"/>
    </row>
    <row r="3" spans="1:6" ht="30" customHeight="1" x14ac:dyDescent="0.25">
      <c r="A3" s="190"/>
      <c r="B3" s="199" t="s">
        <v>100</v>
      </c>
      <c r="C3" s="199"/>
      <c r="D3" s="199"/>
      <c r="E3" s="199"/>
      <c r="F3" s="199"/>
    </row>
    <row r="4" spans="1:6" ht="15" customHeight="1" x14ac:dyDescent="0.25">
      <c r="A4" s="190"/>
      <c r="B4" s="138"/>
      <c r="C4" s="138"/>
      <c r="D4" s="138"/>
      <c r="E4" s="138"/>
      <c r="F4" s="138"/>
    </row>
    <row r="5" spans="1:6" ht="15.75" x14ac:dyDescent="0.3">
      <c r="A5" s="190"/>
      <c r="B5" s="91" t="s">
        <v>148</v>
      </c>
      <c r="C5" s="91" t="str">
        <f>"(1)"</f>
        <v>(1)</v>
      </c>
      <c r="D5" s="91" t="s">
        <v>133</v>
      </c>
      <c r="E5" s="92"/>
      <c r="F5" s="92"/>
    </row>
    <row r="6" spans="1:6" x14ac:dyDescent="0.25">
      <c r="A6" s="190"/>
      <c r="B6" s="93" t="s">
        <v>101</v>
      </c>
      <c r="C6" s="91"/>
      <c r="D6" s="92"/>
      <c r="E6" s="92"/>
      <c r="F6" s="92"/>
    </row>
    <row r="7" spans="1:6" ht="15.75" x14ac:dyDescent="0.3">
      <c r="A7" s="190"/>
      <c r="B7" s="93" t="s">
        <v>145</v>
      </c>
      <c r="C7" s="92" t="s">
        <v>3</v>
      </c>
      <c r="D7" s="92"/>
      <c r="E7" s="92"/>
      <c r="F7" s="92"/>
    </row>
    <row r="8" spans="1:6" x14ac:dyDescent="0.25">
      <c r="A8" s="190"/>
      <c r="B8" s="93" t="s">
        <v>54</v>
      </c>
      <c r="C8" s="92" t="s">
        <v>55</v>
      </c>
      <c r="D8" s="92"/>
      <c r="E8" s="92"/>
      <c r="F8" s="92"/>
    </row>
    <row r="9" spans="1:6" ht="32.25" customHeight="1" x14ac:dyDescent="0.25">
      <c r="A9" s="190"/>
      <c r="B9" s="100" t="s">
        <v>149</v>
      </c>
      <c r="C9" s="199" t="s">
        <v>56</v>
      </c>
      <c r="D9" s="199"/>
      <c r="E9" s="199"/>
      <c r="F9" s="199"/>
    </row>
    <row r="10" spans="1:6" ht="15" customHeight="1" x14ac:dyDescent="0.25">
      <c r="A10" s="190"/>
      <c r="B10" s="100"/>
      <c r="C10" s="138"/>
      <c r="D10" s="138"/>
      <c r="E10" s="138"/>
      <c r="F10" s="138"/>
    </row>
    <row r="11" spans="1:6" x14ac:dyDescent="0.25">
      <c r="A11" s="190"/>
      <c r="B11" s="209" t="s">
        <v>121</v>
      </c>
      <c r="C11" s="209"/>
      <c r="D11" s="209"/>
      <c r="E11" s="209"/>
      <c r="F11" s="209"/>
    </row>
    <row r="12" spans="1:6" x14ac:dyDescent="0.25">
      <c r="A12" s="190"/>
      <c r="B12" s="141"/>
      <c r="C12" s="141"/>
      <c r="D12" s="141"/>
      <c r="E12" s="141"/>
      <c r="F12" s="141"/>
    </row>
    <row r="13" spans="1:6" ht="15.75" x14ac:dyDescent="0.3">
      <c r="A13" s="190"/>
      <c r="B13" s="91" t="s">
        <v>243</v>
      </c>
      <c r="C13" s="91" t="str">
        <f>"(2)"</f>
        <v>(2)</v>
      </c>
      <c r="D13" s="91" t="s">
        <v>83</v>
      </c>
      <c r="E13" s="92"/>
      <c r="F13" s="92"/>
    </row>
    <row r="14" spans="1:6" ht="15.75" x14ac:dyDescent="0.3">
      <c r="A14" s="190"/>
      <c r="B14" s="93" t="s">
        <v>146</v>
      </c>
      <c r="C14" s="92" t="s">
        <v>53</v>
      </c>
      <c r="D14" s="92"/>
      <c r="E14" s="92"/>
      <c r="F14" s="92"/>
    </row>
    <row r="15" spans="1:6" x14ac:dyDescent="0.25">
      <c r="A15" s="190"/>
      <c r="B15" s="93" t="s">
        <v>57</v>
      </c>
      <c r="C15" s="92" t="s">
        <v>58</v>
      </c>
      <c r="D15" s="92"/>
      <c r="E15" s="92"/>
      <c r="F15" s="92"/>
    </row>
    <row r="16" spans="1:6" x14ac:dyDescent="0.25">
      <c r="A16" s="190"/>
      <c r="B16" s="90"/>
      <c r="C16" s="90"/>
      <c r="D16" s="90"/>
      <c r="E16" s="90"/>
      <c r="F16" s="90"/>
    </row>
    <row r="17" spans="1:6" x14ac:dyDescent="0.25">
      <c r="A17" s="190"/>
      <c r="B17" s="206" t="s">
        <v>164</v>
      </c>
      <c r="C17" s="206"/>
      <c r="D17" s="206"/>
      <c r="E17" s="206"/>
      <c r="F17" s="206"/>
    </row>
    <row r="18" spans="1:6" ht="56.25" customHeight="1" x14ac:dyDescent="0.25">
      <c r="A18" s="190"/>
      <c r="B18" s="207" t="s">
        <v>165</v>
      </c>
      <c r="C18" s="207"/>
      <c r="D18" s="207"/>
      <c r="E18" s="207"/>
      <c r="F18" s="207"/>
    </row>
    <row r="19" spans="1:6" ht="15" customHeight="1" x14ac:dyDescent="0.25">
      <c r="A19" s="190"/>
      <c r="B19" s="142"/>
      <c r="C19" s="142">
        <v>0.7</v>
      </c>
      <c r="D19" s="142" t="s">
        <v>4</v>
      </c>
      <c r="E19" s="142"/>
      <c r="F19" s="142"/>
    </row>
    <row r="20" spans="1:6" ht="15" customHeight="1" x14ac:dyDescent="0.25">
      <c r="A20" s="190"/>
      <c r="B20" s="142"/>
      <c r="C20" s="142">
        <v>75</v>
      </c>
      <c r="D20" s="143" t="s">
        <v>130</v>
      </c>
      <c r="E20" s="142"/>
      <c r="F20" s="142"/>
    </row>
    <row r="21" spans="1:6" ht="15" customHeight="1" x14ac:dyDescent="0.25">
      <c r="A21" s="190"/>
      <c r="B21" s="142"/>
      <c r="C21" s="142">
        <v>0.9</v>
      </c>
      <c r="D21" s="142" t="s">
        <v>6</v>
      </c>
      <c r="E21" s="142"/>
      <c r="F21" s="142"/>
    </row>
    <row r="22" spans="1:6" ht="15" customHeight="1" x14ac:dyDescent="0.25">
      <c r="A22" s="190"/>
      <c r="B22" s="142"/>
      <c r="C22" s="142"/>
      <c r="D22" s="142"/>
      <c r="E22" s="142"/>
      <c r="F22" s="142"/>
    </row>
    <row r="23" spans="1:6" ht="33" customHeight="1" x14ac:dyDescent="0.25">
      <c r="A23" s="190"/>
      <c r="B23" s="207" t="s">
        <v>167</v>
      </c>
      <c r="C23" s="207"/>
      <c r="D23" s="207"/>
      <c r="E23" s="207"/>
      <c r="F23" s="207"/>
    </row>
    <row r="24" spans="1:6" ht="15" customHeight="1" x14ac:dyDescent="0.25">
      <c r="A24" s="190"/>
      <c r="B24" s="142"/>
      <c r="C24" s="184"/>
      <c r="D24" s="142" t="s">
        <v>8</v>
      </c>
      <c r="E24" s="146">
        <f>IF(LEN(C24)&gt;1,C24,C26/0.000472)</f>
        <v>0</v>
      </c>
      <c r="F24" s="142"/>
    </row>
    <row r="25" spans="1:6" ht="15" customHeight="1" x14ac:dyDescent="0.25">
      <c r="A25" s="190"/>
      <c r="B25" s="142"/>
      <c r="C25" s="152" t="s">
        <v>2</v>
      </c>
      <c r="D25" s="142"/>
      <c r="E25" s="142"/>
      <c r="F25" s="142"/>
    </row>
    <row r="26" spans="1:6" ht="15" customHeight="1" x14ac:dyDescent="0.25">
      <c r="A26" s="190"/>
      <c r="B26" s="142"/>
      <c r="C26" s="184"/>
      <c r="D26" s="142" t="s">
        <v>166</v>
      </c>
      <c r="E26" s="142"/>
      <c r="F26" s="142"/>
    </row>
    <row r="27" spans="1:6" x14ac:dyDescent="0.25">
      <c r="A27" s="190"/>
      <c r="B27" s="116"/>
      <c r="C27" s="144"/>
      <c r="D27" s="144"/>
      <c r="E27" s="116"/>
      <c r="F27" s="116"/>
    </row>
    <row r="28" spans="1:6" x14ac:dyDescent="0.25">
      <c r="A28" s="190"/>
      <c r="B28" s="206" t="s">
        <v>173</v>
      </c>
      <c r="C28" s="206"/>
      <c r="D28" s="206"/>
      <c r="E28" s="206"/>
      <c r="F28" s="206"/>
    </row>
    <row r="29" spans="1:6" ht="41.25" customHeight="1" x14ac:dyDescent="0.25">
      <c r="A29" s="190"/>
      <c r="B29" s="207" t="s">
        <v>168</v>
      </c>
      <c r="C29" s="207"/>
      <c r="D29" s="207"/>
      <c r="E29" s="207"/>
      <c r="F29" s="207"/>
    </row>
    <row r="30" spans="1:6" x14ac:dyDescent="0.25">
      <c r="A30" s="190"/>
      <c r="B30" s="116"/>
      <c r="C30" s="116"/>
      <c r="D30" s="116"/>
      <c r="E30" s="116"/>
      <c r="F30" s="116"/>
    </row>
    <row r="31" spans="1:6" x14ac:dyDescent="0.25">
      <c r="A31" s="190"/>
      <c r="B31" s="113" t="s">
        <v>155</v>
      </c>
      <c r="C31" s="113"/>
      <c r="D31" s="117" t="s">
        <v>57</v>
      </c>
      <c r="E31" s="184"/>
      <c r="F31" s="113" t="s">
        <v>82</v>
      </c>
    </row>
    <row r="32" spans="1:6" x14ac:dyDescent="0.25">
      <c r="A32" s="190"/>
      <c r="B32" s="113"/>
      <c r="C32" s="113"/>
      <c r="D32" s="116"/>
      <c r="E32" s="116"/>
      <c r="F32" s="116"/>
    </row>
    <row r="33" spans="1:6" x14ac:dyDescent="0.25">
      <c r="A33" s="190"/>
      <c r="B33" s="119" t="s">
        <v>127</v>
      </c>
      <c r="C33" s="113"/>
      <c r="D33" s="116"/>
      <c r="E33" s="116"/>
      <c r="F33" s="113"/>
    </row>
    <row r="34" spans="1:6" x14ac:dyDescent="0.25">
      <c r="A34" s="190"/>
      <c r="B34" s="116"/>
      <c r="C34" s="113"/>
      <c r="D34" s="113"/>
      <c r="E34" s="113"/>
      <c r="F34" s="113"/>
    </row>
    <row r="35" spans="1:6" ht="15.75" x14ac:dyDescent="0.3">
      <c r="A35" s="190"/>
      <c r="B35" s="112" t="s">
        <v>199</v>
      </c>
      <c r="C35" s="112" t="str">
        <f>"(2)"</f>
        <v>(2)</v>
      </c>
      <c r="D35" s="113"/>
      <c r="E35" s="113"/>
      <c r="F35" s="113"/>
    </row>
    <row r="36" spans="1:6" x14ac:dyDescent="0.25">
      <c r="A36" s="190"/>
      <c r="B36" s="156" t="s">
        <v>194</v>
      </c>
      <c r="C36" s="113"/>
      <c r="F36" s="113"/>
    </row>
    <row r="37" spans="1:6" x14ac:dyDescent="0.25">
      <c r="A37" s="190"/>
      <c r="B37" s="113" t="s">
        <v>193</v>
      </c>
      <c r="C37" s="113"/>
      <c r="D37" s="120"/>
      <c r="E37" s="113"/>
      <c r="F37" s="113"/>
    </row>
    <row r="38" spans="1:6" x14ac:dyDescent="0.25">
      <c r="A38" s="190"/>
      <c r="B38" s="112" t="str">
        <f>CONCATENATE("Bhp= ",ROUNDUP(E24,),"*0.00094+A")</f>
        <v>Bhp= 0*0.00094+A</v>
      </c>
      <c r="C38" s="116"/>
      <c r="D38" s="120" t="s">
        <v>54</v>
      </c>
      <c r="E38" s="125">
        <f>E24*0.00094+E31</f>
        <v>0</v>
      </c>
      <c r="F38" s="116"/>
    </row>
    <row r="39" spans="1:6" x14ac:dyDescent="0.25">
      <c r="A39" s="190"/>
      <c r="B39" s="116"/>
      <c r="C39" s="116"/>
      <c r="D39" s="116"/>
      <c r="E39" s="116"/>
      <c r="F39" s="116"/>
    </row>
    <row r="40" spans="1:6" x14ac:dyDescent="0.25">
      <c r="A40" s="190"/>
      <c r="B40" s="206" t="s">
        <v>209</v>
      </c>
      <c r="C40" s="206"/>
      <c r="D40" s="206"/>
      <c r="E40" s="206"/>
      <c r="F40" s="206"/>
    </row>
    <row r="41" spans="1:6" ht="39" customHeight="1" x14ac:dyDescent="0.25">
      <c r="A41" s="190"/>
      <c r="B41" s="207" t="s">
        <v>172</v>
      </c>
      <c r="C41" s="207"/>
      <c r="D41" s="207"/>
      <c r="E41" s="207"/>
      <c r="F41" s="207"/>
    </row>
    <row r="42" spans="1:6" x14ac:dyDescent="0.25">
      <c r="A42" s="190"/>
      <c r="B42" s="116"/>
      <c r="C42" s="116"/>
      <c r="D42" s="116"/>
      <c r="E42" s="113"/>
      <c r="F42" s="113"/>
    </row>
    <row r="43" spans="1:6" x14ac:dyDescent="0.25">
      <c r="A43" s="190"/>
      <c r="B43" s="113"/>
      <c r="C43" s="113"/>
      <c r="D43" s="117" t="s">
        <v>156</v>
      </c>
      <c r="E43" s="187"/>
      <c r="F43" s="113"/>
    </row>
    <row r="44" spans="1:6" x14ac:dyDescent="0.25">
      <c r="A44" s="190"/>
      <c r="B44" s="119" t="s">
        <v>128</v>
      </c>
      <c r="C44" s="113"/>
      <c r="D44" s="113"/>
      <c r="E44" s="113"/>
      <c r="F44" s="113"/>
    </row>
    <row r="45" spans="1:6" x14ac:dyDescent="0.25">
      <c r="A45" s="190"/>
      <c r="B45" s="116"/>
      <c r="C45" s="113"/>
      <c r="D45" s="113"/>
      <c r="E45" s="113"/>
      <c r="F45" s="113"/>
    </row>
    <row r="46" spans="1:6" ht="30" customHeight="1" x14ac:dyDescent="0.25">
      <c r="A46" s="190"/>
      <c r="B46" s="207" t="s">
        <v>171</v>
      </c>
      <c r="C46" s="207"/>
      <c r="D46" s="207"/>
      <c r="E46" s="207"/>
      <c r="F46" s="207"/>
    </row>
    <row r="47" spans="1:6" x14ac:dyDescent="0.25">
      <c r="A47" s="190"/>
      <c r="B47" s="116"/>
      <c r="C47" s="113"/>
      <c r="D47" s="113"/>
      <c r="E47" s="113"/>
      <c r="F47" s="113"/>
    </row>
    <row r="48" spans="1:6" ht="15.75" x14ac:dyDescent="0.3">
      <c r="A48" s="190"/>
      <c r="B48" s="112" t="s">
        <v>150</v>
      </c>
      <c r="C48" s="112" t="str">
        <f>"(1)"</f>
        <v>(1)</v>
      </c>
      <c r="D48" s="113"/>
      <c r="E48" s="113"/>
      <c r="F48" s="113"/>
    </row>
    <row r="49" spans="1:6" x14ac:dyDescent="0.25">
      <c r="A49" s="190"/>
      <c r="B49" s="156" t="s">
        <v>194</v>
      </c>
      <c r="C49" s="112"/>
      <c r="D49" s="113"/>
      <c r="E49" s="113"/>
      <c r="F49" s="113"/>
    </row>
    <row r="50" spans="1:6" x14ac:dyDescent="0.25">
      <c r="A50" s="190"/>
      <c r="B50" s="113" t="s">
        <v>122</v>
      </c>
      <c r="C50" s="113"/>
      <c r="D50" s="113"/>
      <c r="E50" s="113"/>
      <c r="F50" s="113"/>
    </row>
    <row r="51" spans="1:6" x14ac:dyDescent="0.25">
      <c r="A51" s="190"/>
      <c r="B51" s="112" t="str">
        <f>CONCATENATE("Pfan=(",ROUNDUP(E38,2),"*746) / ", E43*100,"% =")</f>
        <v>Pfan=(0*746) / 0% =</v>
      </c>
      <c r="C51" s="113"/>
      <c r="D51" s="120" t="s">
        <v>169</v>
      </c>
      <c r="E51" s="145" t="e">
        <f>(E38*746)/E43</f>
        <v>#DIV/0!</v>
      </c>
      <c r="F51" s="113" t="s">
        <v>170</v>
      </c>
    </row>
    <row r="52" spans="1:6" x14ac:dyDescent="0.25">
      <c r="A52" s="190"/>
      <c r="B52" s="116"/>
      <c r="C52" s="116"/>
      <c r="D52" s="116"/>
      <c r="E52" s="116"/>
      <c r="F52" s="116"/>
    </row>
    <row r="53" spans="1:6" x14ac:dyDescent="0.25">
      <c r="A53" s="190"/>
      <c r="B53" s="206" t="s">
        <v>174</v>
      </c>
      <c r="C53" s="206"/>
      <c r="D53" s="206"/>
      <c r="E53" s="206"/>
      <c r="F53" s="206"/>
    </row>
    <row r="54" spans="1:6" ht="29.25" customHeight="1" x14ac:dyDescent="0.25">
      <c r="A54" s="190"/>
      <c r="B54" s="207" t="s">
        <v>175</v>
      </c>
      <c r="C54" s="207"/>
      <c r="D54" s="207"/>
      <c r="E54" s="207"/>
      <c r="F54" s="207"/>
    </row>
    <row r="55" spans="1:6" x14ac:dyDescent="0.25">
      <c r="A55" s="190"/>
      <c r="B55" s="116"/>
      <c r="C55" s="113"/>
      <c r="D55" s="113"/>
      <c r="E55" s="113"/>
      <c r="F55" s="113"/>
    </row>
    <row r="56" spans="1:6" ht="15.75" x14ac:dyDescent="0.3">
      <c r="A56" s="190"/>
      <c r="B56" s="112" t="s">
        <v>180</v>
      </c>
      <c r="C56" s="116"/>
      <c r="D56" s="112" t="str">
        <f>"(3)"</f>
        <v>(3)</v>
      </c>
      <c r="E56" s="113"/>
      <c r="F56" s="113"/>
    </row>
    <row r="57" spans="1:6" x14ac:dyDescent="0.25">
      <c r="A57" s="190"/>
      <c r="B57" s="113"/>
      <c r="C57" s="113"/>
      <c r="D57" s="113"/>
      <c r="E57" s="113"/>
      <c r="F57" s="113"/>
    </row>
    <row r="58" spans="1:6" x14ac:dyDescent="0.25">
      <c r="A58" s="190"/>
      <c r="B58" s="122" t="s">
        <v>101</v>
      </c>
      <c r="C58" s="112"/>
      <c r="D58" s="113"/>
      <c r="E58" s="113"/>
      <c r="F58" s="113"/>
    </row>
    <row r="59" spans="1:6" ht="15.75" x14ac:dyDescent="0.3">
      <c r="A59" s="190"/>
      <c r="B59" s="147" t="s">
        <v>179</v>
      </c>
      <c r="C59" s="154" t="s">
        <v>176</v>
      </c>
      <c r="D59" s="113"/>
      <c r="E59" s="113"/>
      <c r="F59" s="113"/>
    </row>
    <row r="60" spans="1:6" x14ac:dyDescent="0.25">
      <c r="A60" s="190"/>
      <c r="B60" s="147" t="s">
        <v>177</v>
      </c>
      <c r="C60" s="123" t="s">
        <v>178</v>
      </c>
      <c r="D60" s="113"/>
      <c r="E60" s="113"/>
      <c r="F60" s="113"/>
    </row>
    <row r="61" spans="1:6" x14ac:dyDescent="0.25">
      <c r="A61" s="190"/>
      <c r="B61" s="124"/>
      <c r="C61" s="123"/>
      <c r="D61" s="113"/>
      <c r="E61" s="113"/>
      <c r="F61" s="113"/>
    </row>
    <row r="62" spans="1:6" x14ac:dyDescent="0.25">
      <c r="A62" s="190"/>
      <c r="B62" s="155" t="e">
        <f>CONCATENATE("ηtot=(.000472 * ", E24, " * ΔPa) / ", ROUNDUP(E51,))</f>
        <v>#DIV/0!</v>
      </c>
      <c r="C62" s="113"/>
      <c r="D62" s="113"/>
      <c r="E62" s="113"/>
      <c r="F62" s="113"/>
    </row>
    <row r="63" spans="1:6" x14ac:dyDescent="0.25">
      <c r="A63" s="190"/>
      <c r="B63" s="156" t="s">
        <v>194</v>
      </c>
      <c r="C63" s="113"/>
      <c r="D63" s="113"/>
      <c r="E63" s="113"/>
      <c r="F63" s="113"/>
    </row>
    <row r="64" spans="1:6" x14ac:dyDescent="0.25">
      <c r="A64" s="190"/>
      <c r="B64" s="112" t="e">
        <f>CONCATENATE(ROUNDUP(E51,),"ηtot=", (0.000472 * E24), "ΔPa")</f>
        <v>#DIV/0!</v>
      </c>
      <c r="C64" s="113"/>
      <c r="D64" s="113"/>
      <c r="E64" s="113"/>
      <c r="F64" s="113"/>
    </row>
    <row r="65" spans="1:6" x14ac:dyDescent="0.25">
      <c r="A65" s="190"/>
      <c r="B65" s="156" t="s">
        <v>194</v>
      </c>
      <c r="C65" s="113"/>
      <c r="D65" s="113"/>
      <c r="E65" s="113"/>
      <c r="F65" s="113"/>
    </row>
    <row r="66" spans="1:6" x14ac:dyDescent="0.25">
      <c r="A66" s="190"/>
      <c r="B66" s="112" t="e">
        <f>CONCATENATE("ΔPa / ηtot = ", ROUNDUP(E51/(0.000472 * E24), ))</f>
        <v>#DIV/0!</v>
      </c>
      <c r="C66" s="113"/>
      <c r="D66" s="113"/>
      <c r="E66" s="113"/>
      <c r="F66" s="113"/>
    </row>
    <row r="67" spans="1:6" x14ac:dyDescent="0.25">
      <c r="A67" s="190"/>
      <c r="B67" s="113"/>
      <c r="C67" s="113"/>
      <c r="D67" s="113"/>
      <c r="E67" s="113"/>
      <c r="F67" s="113"/>
    </row>
    <row r="68" spans="1:6" x14ac:dyDescent="0.25">
      <c r="A68" s="190"/>
      <c r="B68" s="206" t="s">
        <v>181</v>
      </c>
      <c r="C68" s="206"/>
      <c r="D68" s="206"/>
      <c r="E68" s="206"/>
      <c r="F68" s="206"/>
    </row>
    <row r="69" spans="1:6" ht="53.25" customHeight="1" x14ac:dyDescent="0.25">
      <c r="A69" s="190"/>
      <c r="B69" s="207" t="s">
        <v>244</v>
      </c>
      <c r="C69" s="207"/>
      <c r="D69" s="207"/>
      <c r="E69" s="207"/>
      <c r="F69" s="207"/>
    </row>
    <row r="70" spans="1:6" ht="15" customHeight="1" x14ac:dyDescent="0.25">
      <c r="A70" s="190"/>
      <c r="B70" s="142"/>
      <c r="C70" s="142"/>
      <c r="D70" s="114" t="s">
        <v>182</v>
      </c>
      <c r="E70" s="148">
        <v>0.7</v>
      </c>
      <c r="F70" s="142"/>
    </row>
    <row r="71" spans="1:6" ht="15" customHeight="1" x14ac:dyDescent="0.25">
      <c r="A71" s="190"/>
      <c r="B71" s="156" t="s">
        <v>194</v>
      </c>
      <c r="C71" s="142"/>
      <c r="D71" s="142"/>
      <c r="E71" s="142"/>
      <c r="F71" s="142"/>
    </row>
    <row r="72" spans="1:6" x14ac:dyDescent="0.25">
      <c r="A72" s="190"/>
      <c r="B72" s="112" t="e">
        <f>CONCATENATE("ΔPa = ", ROUNDUP(E51/(0.000472 * E24), ), " * ", E70)</f>
        <v>#DIV/0!</v>
      </c>
      <c r="C72" s="113"/>
      <c r="D72" s="113"/>
      <c r="E72" s="125" t="e">
        <f>E51/(0.000472 * E24)*E70</f>
        <v>#DIV/0!</v>
      </c>
      <c r="F72" s="121" t="s">
        <v>183</v>
      </c>
    </row>
    <row r="73" spans="1:6" x14ac:dyDescent="0.25">
      <c r="A73" s="190"/>
      <c r="B73" s="116"/>
      <c r="C73" s="116"/>
      <c r="D73" s="116"/>
      <c r="E73" s="126"/>
      <c r="F73" s="126"/>
    </row>
    <row r="74" spans="1:6" x14ac:dyDescent="0.25">
      <c r="A74" s="190"/>
      <c r="B74" s="206" t="s">
        <v>120</v>
      </c>
      <c r="C74" s="206"/>
      <c r="D74" s="206"/>
      <c r="E74" s="206"/>
      <c r="F74" s="206"/>
    </row>
    <row r="75" spans="1:6" x14ac:dyDescent="0.25">
      <c r="A75" s="190"/>
      <c r="B75" s="113"/>
      <c r="C75" s="113"/>
      <c r="D75" s="113"/>
      <c r="E75" s="113"/>
      <c r="F75" s="113"/>
    </row>
    <row r="76" spans="1:6" ht="15.75" thickBot="1" x14ac:dyDescent="0.3">
      <c r="A76" s="190"/>
      <c r="B76" s="121" t="s">
        <v>247</v>
      </c>
      <c r="C76" s="121"/>
      <c r="D76" s="121"/>
      <c r="E76" s="113"/>
      <c r="F76" s="113"/>
    </row>
    <row r="77" spans="1:6" x14ac:dyDescent="0.25">
      <c r="A77" s="190"/>
      <c r="B77" s="116"/>
      <c r="C77" s="127">
        <f>E70</f>
        <v>0.7</v>
      </c>
      <c r="D77" s="128" t="s">
        <v>4</v>
      </c>
      <c r="E77" s="129"/>
      <c r="F77" s="113"/>
    </row>
    <row r="78" spans="1:6" x14ac:dyDescent="0.25">
      <c r="A78" s="190"/>
      <c r="B78" s="116"/>
      <c r="C78" s="130" t="e">
        <f>E72</f>
        <v>#DIV/0!</v>
      </c>
      <c r="D78" s="121" t="s">
        <v>5</v>
      </c>
      <c r="E78" s="131"/>
      <c r="F78" s="113"/>
    </row>
    <row r="79" spans="1:6" ht="15.75" thickBot="1" x14ac:dyDescent="0.3">
      <c r="A79" s="190"/>
      <c r="B79" s="116"/>
      <c r="C79" s="132">
        <f>E43</f>
        <v>0</v>
      </c>
      <c r="D79" s="133" t="s">
        <v>6</v>
      </c>
      <c r="E79" s="134"/>
      <c r="F79" s="113"/>
    </row>
    <row r="80" spans="1:6" x14ac:dyDescent="0.25">
      <c r="A80" s="190"/>
      <c r="B80" s="113"/>
      <c r="C80" s="113"/>
      <c r="D80" s="113"/>
      <c r="E80" s="113"/>
      <c r="F80" s="113"/>
    </row>
    <row r="81" spans="1:7" x14ac:dyDescent="0.25">
      <c r="A81" s="190"/>
      <c r="B81" s="206" t="s">
        <v>184</v>
      </c>
      <c r="C81" s="206"/>
      <c r="D81" s="206"/>
      <c r="E81" s="206"/>
      <c r="F81" s="206"/>
    </row>
    <row r="82" spans="1:7" ht="30" customHeight="1" x14ac:dyDescent="0.25">
      <c r="A82" s="190"/>
      <c r="B82" s="207" t="s">
        <v>238</v>
      </c>
      <c r="C82" s="207"/>
      <c r="D82" s="207"/>
      <c r="E82" s="207"/>
      <c r="F82" s="207"/>
    </row>
    <row r="83" spans="1:7" ht="15" customHeight="1" x14ac:dyDescent="0.25">
      <c r="A83" s="190"/>
      <c r="B83" s="150"/>
      <c r="C83" s="150"/>
      <c r="D83" s="150"/>
      <c r="E83" s="150"/>
      <c r="F83" s="150"/>
    </row>
    <row r="84" spans="1:7" x14ac:dyDescent="0.25">
      <c r="A84" s="190"/>
      <c r="B84" s="113" t="s">
        <v>7</v>
      </c>
      <c r="C84" s="186"/>
      <c r="D84" s="121" t="s">
        <v>186</v>
      </c>
      <c r="E84" s="125">
        <f>C84</f>
        <v>0</v>
      </c>
      <c r="F84" s="121" t="s">
        <v>195</v>
      </c>
      <c r="G84" t="s">
        <v>185</v>
      </c>
    </row>
    <row r="85" spans="1:7" x14ac:dyDescent="0.25">
      <c r="A85" s="190"/>
      <c r="B85" s="113" t="s">
        <v>189</v>
      </c>
      <c r="C85" s="186"/>
      <c r="D85" s="121" t="s">
        <v>187</v>
      </c>
      <c r="E85" s="125">
        <f>C85*6894.75729</f>
        <v>0</v>
      </c>
      <c r="F85" s="121" t="s">
        <v>183</v>
      </c>
      <c r="G85">
        <v>0.47</v>
      </c>
    </row>
    <row r="86" spans="1:7" x14ac:dyDescent="0.25">
      <c r="A86" s="190"/>
      <c r="B86" s="113" t="s">
        <v>190</v>
      </c>
      <c r="C86" s="186"/>
      <c r="D86" s="121" t="s">
        <v>188</v>
      </c>
      <c r="E86" s="125">
        <f>C86</f>
        <v>0</v>
      </c>
      <c r="F86" s="121" t="s">
        <v>8</v>
      </c>
      <c r="G86">
        <v>0.37</v>
      </c>
    </row>
    <row r="87" spans="1:7" x14ac:dyDescent="0.25">
      <c r="A87" s="190"/>
      <c r="B87" s="113" t="s">
        <v>191</v>
      </c>
      <c r="C87" s="186"/>
      <c r="D87" s="121" t="s">
        <v>170</v>
      </c>
      <c r="E87" s="125">
        <f>C87</f>
        <v>0</v>
      </c>
      <c r="F87" s="121" t="s">
        <v>170</v>
      </c>
    </row>
    <row r="88" spans="1:7" x14ac:dyDescent="0.25">
      <c r="A88" s="190"/>
      <c r="D88" s="151"/>
      <c r="E88" s="7"/>
      <c r="F88" s="7"/>
    </row>
    <row r="89" spans="1:7" x14ac:dyDescent="0.25">
      <c r="A89" s="190"/>
      <c r="B89" s="121" t="s">
        <v>197</v>
      </c>
      <c r="C89" s="157"/>
      <c r="D89" s="153"/>
      <c r="E89" s="159" t="e">
        <f>E51/(0.000472 * E24)</f>
        <v>#DIV/0!</v>
      </c>
      <c r="F89" s="160" t="e">
        <f>E85/E84</f>
        <v>#DIV/0!</v>
      </c>
    </row>
    <row r="90" spans="1:7" x14ac:dyDescent="0.25">
      <c r="A90" s="190"/>
      <c r="B90" s="113" t="e">
        <f>CONCATENATE("Does ΔPa / ηtot = ", ROUNDUP(E51/(0.000472 * E24),),"?")</f>
        <v>#DIV/0!</v>
      </c>
      <c r="C90" s="149"/>
      <c r="D90" s="118" t="e">
        <f>IF(E89&gt;=F89, IF(((E89-F89)/E89)&lt;0.05, "Yes", "No - please revisit"), IF(F89&gt;E89, IF((((F89-E89)/F89)&lt;0.05), "Yes", "No - please revisit")))</f>
        <v>#DIV/0!</v>
      </c>
      <c r="E90" s="159"/>
      <c r="F90" s="159"/>
    </row>
    <row r="91" spans="1:7" x14ac:dyDescent="0.25">
      <c r="A91" s="190"/>
      <c r="B91" s="113" t="str">
        <f>CONCATENATE("Does (.000472CFMs * ΔPa) / Pfan =", E70*100, "% ?")</f>
        <v>Does (.000472CFMs * ΔPa) / Pfan =70% ?</v>
      </c>
      <c r="C91" s="113"/>
      <c r="D91" s="118" t="e">
        <f>IF(E91&gt;=E84, IF(((E91-E84)/E91)&lt;0.05, "Yes", "No - please revisit"), IF(E84&gt;E91, IF((((E84-E91)/E84)&lt;0.05), "Yes", "No - please revisit")))</f>
        <v>#DIV/0!</v>
      </c>
      <c r="E91" s="161" t="e">
        <f>(0.000472*E86*E85)/E87</f>
        <v>#DIV/0!</v>
      </c>
      <c r="F91" s="159"/>
    </row>
    <row r="92" spans="1:7" x14ac:dyDescent="0.25">
      <c r="A92" s="190"/>
      <c r="B92" s="121" t="s">
        <v>198</v>
      </c>
      <c r="C92" s="113"/>
      <c r="D92" s="153"/>
      <c r="E92" s="161">
        <f>(746*(0.00094+E31))/0.84</f>
        <v>0.83480952380952378</v>
      </c>
      <c r="F92" s="162" t="e">
        <f>E87/E86</f>
        <v>#DIV/0!</v>
      </c>
    </row>
    <row r="93" spans="1:7" ht="15.75" x14ac:dyDescent="0.3">
      <c r="A93" s="190"/>
      <c r="B93" s="113" t="s">
        <v>200</v>
      </c>
      <c r="C93" s="113"/>
      <c r="D93" s="118" t="e">
        <f>IF(E92&gt;=F92, IF(((E92-F92)/E92)&lt;0.05, "Yes", "No - please revisit"), IF(F92&gt;E92, IF((((F92-E92)/F92)&lt;0.05), "Yes", "No - please revisit")))</f>
        <v>#DIV/0!</v>
      </c>
      <c r="E93" s="7"/>
      <c r="F93" s="7"/>
    </row>
    <row r="94" spans="1:7" ht="15" hidden="1" customHeight="1" x14ac:dyDescent="0.25">
      <c r="A94" s="190"/>
      <c r="B94" s="113"/>
      <c r="C94" s="113"/>
      <c r="D94" s="113"/>
      <c r="E94" s="151"/>
      <c r="F94" s="151"/>
    </row>
    <row r="95" spans="1:7" ht="15" hidden="1" customHeight="1" x14ac:dyDescent="0.25">
      <c r="A95" s="190"/>
      <c r="B95" s="113"/>
      <c r="C95" s="113"/>
      <c r="D95" s="113"/>
      <c r="E95" s="151"/>
      <c r="F95" s="151"/>
    </row>
    <row r="96" spans="1:7" ht="15" hidden="1" customHeight="1" x14ac:dyDescent="0.25">
      <c r="A96" s="190"/>
      <c r="B96" s="113"/>
      <c r="C96" s="113"/>
      <c r="D96" s="113"/>
      <c r="E96" s="163"/>
      <c r="F96" s="163"/>
    </row>
    <row r="97" spans="1:6" ht="15" hidden="1" customHeight="1" x14ac:dyDescent="0.25">
      <c r="A97" s="190"/>
      <c r="B97" s="113"/>
      <c r="C97" s="113"/>
      <c r="D97" s="113"/>
      <c r="E97" s="163"/>
      <c r="F97" s="163"/>
    </row>
    <row r="98" spans="1:6" ht="15" hidden="1" customHeight="1" x14ac:dyDescent="0.25">
      <c r="A98" s="190"/>
      <c r="B98" s="149"/>
      <c r="C98" s="149"/>
      <c r="D98" s="149"/>
      <c r="E98" s="164"/>
      <c r="F98" s="164"/>
    </row>
    <row r="99" spans="1:6" ht="15" hidden="1" customHeight="1" x14ac:dyDescent="0.25">
      <c r="A99" s="190"/>
      <c r="B99" s="149"/>
      <c r="C99" s="149"/>
      <c r="D99" s="149"/>
      <c r="E99" s="164"/>
      <c r="F99" s="164"/>
    </row>
    <row r="100" spans="1:6" ht="15" hidden="1" customHeight="1" x14ac:dyDescent="0.25">
      <c r="A100" s="190"/>
      <c r="B100" s="149"/>
      <c r="C100" s="149"/>
      <c r="D100" s="149"/>
      <c r="E100" s="164"/>
      <c r="F100" s="164"/>
    </row>
    <row r="101" spans="1:6" ht="15" hidden="1" customHeight="1" x14ac:dyDescent="0.25">
      <c r="A101" s="190"/>
      <c r="B101" s="149"/>
      <c r="C101" s="149"/>
      <c r="D101" s="149"/>
      <c r="E101" s="164"/>
      <c r="F101" s="164"/>
    </row>
    <row r="102" spans="1:6" ht="15" hidden="1" customHeight="1" x14ac:dyDescent="0.25">
      <c r="A102" s="190"/>
      <c r="B102" s="149"/>
      <c r="C102" s="149"/>
      <c r="D102" s="149"/>
      <c r="E102" s="164"/>
      <c r="F102" s="164"/>
    </row>
    <row r="103" spans="1:6" ht="15" hidden="1" customHeight="1" x14ac:dyDescent="0.25">
      <c r="A103" s="190"/>
      <c r="B103" s="149"/>
      <c r="C103" s="149"/>
      <c r="D103" s="149"/>
      <c r="E103" s="164"/>
      <c r="F103" s="164"/>
    </row>
    <row r="104" spans="1:6" ht="15" hidden="1" customHeight="1" x14ac:dyDescent="0.25">
      <c r="A104" s="190"/>
      <c r="B104" s="149"/>
      <c r="C104" s="149"/>
      <c r="D104" s="149"/>
      <c r="E104" s="164"/>
      <c r="F104" s="164"/>
    </row>
    <row r="105" spans="1:6" ht="15" hidden="1" customHeight="1" x14ac:dyDescent="0.25">
      <c r="A105" s="190"/>
      <c r="B105" s="149"/>
      <c r="C105" s="149"/>
      <c r="D105" s="149"/>
      <c r="E105" s="164"/>
      <c r="F105" s="164"/>
    </row>
    <row r="106" spans="1:6" ht="15" hidden="1" customHeight="1" x14ac:dyDescent="0.25">
      <c r="A106" s="190"/>
      <c r="B106" s="149"/>
      <c r="C106" s="149"/>
      <c r="D106" s="149"/>
      <c r="E106" s="164"/>
      <c r="F106" s="164"/>
    </row>
    <row r="107" spans="1:6" ht="15" hidden="1" customHeight="1" x14ac:dyDescent="0.25">
      <c r="A107" s="190"/>
      <c r="B107" s="149"/>
      <c r="C107" s="149"/>
      <c r="D107" s="149"/>
      <c r="E107" s="164"/>
      <c r="F107" s="164"/>
    </row>
    <row r="108" spans="1:6" ht="15" hidden="1" customHeight="1" x14ac:dyDescent="0.25">
      <c r="A108" s="190"/>
      <c r="B108" s="149"/>
      <c r="C108" s="149"/>
      <c r="D108" s="149"/>
      <c r="E108" s="164"/>
      <c r="F108" s="164"/>
    </row>
    <row r="109" spans="1:6" ht="15" hidden="1" customHeight="1" x14ac:dyDescent="0.25">
      <c r="A109" s="190"/>
      <c r="B109" s="149"/>
      <c r="C109" s="149"/>
      <c r="D109" s="149"/>
      <c r="E109" s="164"/>
      <c r="F109" s="164"/>
    </row>
    <row r="110" spans="1:6" ht="15" hidden="1" customHeight="1" x14ac:dyDescent="0.25">
      <c r="A110" s="190"/>
      <c r="B110" s="149"/>
      <c r="C110" s="149"/>
      <c r="D110" s="149"/>
      <c r="E110" s="164"/>
      <c r="F110" s="164"/>
    </row>
    <row r="111" spans="1:6" ht="15" hidden="1" customHeight="1" x14ac:dyDescent="0.25">
      <c r="A111" s="190"/>
      <c r="B111" s="149"/>
      <c r="C111" s="149"/>
      <c r="D111" s="149"/>
      <c r="E111" s="164"/>
      <c r="F111" s="164"/>
    </row>
    <row r="112" spans="1:6" ht="15" hidden="1" customHeight="1" x14ac:dyDescent="0.25">
      <c r="A112" s="190"/>
      <c r="B112" s="149"/>
      <c r="C112" s="149"/>
      <c r="D112" s="149"/>
      <c r="E112" s="164"/>
      <c r="F112" s="164"/>
    </row>
    <row r="113" spans="1:6" ht="15" hidden="1" customHeight="1" x14ac:dyDescent="0.25">
      <c r="A113" s="190"/>
      <c r="B113" s="149"/>
      <c r="C113" s="149"/>
      <c r="D113" s="149"/>
      <c r="E113" s="164"/>
      <c r="F113" s="164"/>
    </row>
    <row r="114" spans="1:6" ht="15" hidden="1" customHeight="1" x14ac:dyDescent="0.25">
      <c r="A114" s="190"/>
      <c r="B114" s="149"/>
      <c r="C114" s="149"/>
      <c r="D114" s="149"/>
      <c r="E114" s="164"/>
      <c r="F114" s="164"/>
    </row>
    <row r="115" spans="1:6" ht="15" hidden="1" customHeight="1" x14ac:dyDescent="0.25">
      <c r="A115" s="190"/>
      <c r="B115" s="149"/>
      <c r="C115" s="149"/>
      <c r="D115" s="149"/>
      <c r="E115" s="164"/>
      <c r="F115" s="164"/>
    </row>
    <row r="116" spans="1:6" ht="15" hidden="1" customHeight="1" x14ac:dyDescent="0.25">
      <c r="A116" s="190"/>
      <c r="B116" s="149"/>
      <c r="C116" s="149"/>
      <c r="D116" s="149"/>
      <c r="E116" s="164"/>
      <c r="F116" s="164"/>
    </row>
    <row r="117" spans="1:6" ht="15" hidden="1" customHeight="1" x14ac:dyDescent="0.25">
      <c r="A117" s="190"/>
      <c r="B117" s="149"/>
      <c r="C117" s="149"/>
      <c r="D117" s="149"/>
      <c r="E117" s="164"/>
      <c r="F117" s="164"/>
    </row>
    <row r="118" spans="1:6" ht="15" hidden="1" customHeight="1" x14ac:dyDescent="0.25">
      <c r="A118" s="190"/>
      <c r="B118" s="149"/>
      <c r="C118" s="149"/>
      <c r="D118" s="149"/>
      <c r="E118" s="164"/>
      <c r="F118" s="164"/>
    </row>
    <row r="119" spans="1:6" ht="15" hidden="1" customHeight="1" x14ac:dyDescent="0.25">
      <c r="A119" s="190"/>
      <c r="B119" s="149"/>
      <c r="C119" s="149"/>
      <c r="D119" s="149"/>
      <c r="E119" s="164"/>
      <c r="F119" s="164"/>
    </row>
    <row r="120" spans="1:6" ht="15" hidden="1" customHeight="1" x14ac:dyDescent="0.25">
      <c r="A120" s="190"/>
      <c r="B120" s="149"/>
      <c r="C120" s="149"/>
      <c r="D120" s="149"/>
      <c r="E120" s="164"/>
      <c r="F120" s="164"/>
    </row>
    <row r="121" spans="1:6" ht="15" hidden="1" customHeight="1" x14ac:dyDescent="0.25">
      <c r="A121" s="190"/>
      <c r="B121" s="149"/>
      <c r="C121" s="149"/>
      <c r="D121" s="149"/>
      <c r="E121" s="164"/>
      <c r="F121" s="164"/>
    </row>
    <row r="122" spans="1:6" ht="15" hidden="1" customHeight="1" x14ac:dyDescent="0.25">
      <c r="A122" s="190"/>
      <c r="B122" s="149"/>
      <c r="C122" s="149"/>
      <c r="D122" s="149"/>
      <c r="E122" s="164"/>
      <c r="F122" s="164"/>
    </row>
    <row r="123" spans="1:6" ht="15" hidden="1" customHeight="1" x14ac:dyDescent="0.25">
      <c r="A123" s="190"/>
      <c r="B123" s="149"/>
      <c r="C123" s="149"/>
      <c r="D123" s="149"/>
      <c r="E123" s="164"/>
      <c r="F123" s="164"/>
    </row>
    <row r="124" spans="1:6" ht="15" hidden="1" customHeight="1" x14ac:dyDescent="0.25">
      <c r="A124" s="190"/>
      <c r="B124" s="149"/>
      <c r="C124" s="149"/>
      <c r="D124" s="149"/>
      <c r="E124" s="164"/>
      <c r="F124" s="164"/>
    </row>
    <row r="125" spans="1:6" ht="15" hidden="1" customHeight="1" x14ac:dyDescent="0.25">
      <c r="A125" s="190"/>
      <c r="B125" s="149"/>
      <c r="C125" s="149"/>
      <c r="D125" s="149"/>
      <c r="E125" s="164"/>
      <c r="F125" s="164"/>
    </row>
    <row r="126" spans="1:6" ht="15" hidden="1" customHeight="1" x14ac:dyDescent="0.25">
      <c r="A126" s="190"/>
      <c r="B126" s="149"/>
      <c r="C126" s="149"/>
      <c r="D126" s="149"/>
      <c r="E126" s="164"/>
      <c r="F126" s="164"/>
    </row>
    <row r="127" spans="1:6" ht="15" hidden="1" customHeight="1" x14ac:dyDescent="0.25">
      <c r="A127" s="190"/>
      <c r="B127" s="149"/>
      <c r="C127" s="149"/>
      <c r="D127" s="149"/>
      <c r="E127" s="164"/>
      <c r="F127" s="164"/>
    </row>
    <row r="128" spans="1:6" ht="15" hidden="1" customHeight="1" x14ac:dyDescent="0.25">
      <c r="A128" s="190"/>
      <c r="B128" s="149"/>
      <c r="C128" s="149"/>
      <c r="D128" s="149"/>
      <c r="E128" s="164"/>
      <c r="F128" s="164"/>
    </row>
    <row r="129" spans="1:6" ht="15" hidden="1" customHeight="1" x14ac:dyDescent="0.25">
      <c r="A129" s="190"/>
      <c r="B129" s="149"/>
      <c r="C129" s="149"/>
      <c r="D129" s="149"/>
      <c r="E129" s="164"/>
      <c r="F129" s="164"/>
    </row>
    <row r="130" spans="1:6" ht="15" hidden="1" customHeight="1" x14ac:dyDescent="0.25">
      <c r="A130" s="190"/>
      <c r="B130" s="149"/>
      <c r="C130" s="149"/>
      <c r="D130" s="149"/>
      <c r="E130" s="164"/>
      <c r="F130" s="164"/>
    </row>
    <row r="131" spans="1:6" ht="15" hidden="1" customHeight="1" x14ac:dyDescent="0.25">
      <c r="A131" s="190"/>
      <c r="B131" s="149"/>
      <c r="C131" s="149"/>
      <c r="D131" s="149"/>
      <c r="E131" s="164"/>
      <c r="F131" s="164"/>
    </row>
    <row r="132" spans="1:6" ht="15" hidden="1" customHeight="1" x14ac:dyDescent="0.25">
      <c r="A132" s="190"/>
      <c r="B132" s="149"/>
      <c r="C132" s="149"/>
      <c r="D132" s="149"/>
      <c r="E132" s="164"/>
      <c r="F132" s="164"/>
    </row>
    <row r="133" spans="1:6" ht="15" hidden="1" customHeight="1" x14ac:dyDescent="0.25">
      <c r="A133" s="190"/>
      <c r="B133" s="149"/>
      <c r="C133" s="149"/>
      <c r="D133" s="149"/>
      <c r="E133" s="164"/>
      <c r="F133" s="164"/>
    </row>
    <row r="134" spans="1:6" ht="15" hidden="1" customHeight="1" x14ac:dyDescent="0.25">
      <c r="A134" s="190"/>
      <c r="B134" s="149"/>
      <c r="C134" s="149"/>
      <c r="D134" s="149"/>
      <c r="E134" s="164"/>
      <c r="F134" s="164"/>
    </row>
    <row r="135" spans="1:6" ht="15" hidden="1" customHeight="1" x14ac:dyDescent="0.25">
      <c r="A135" s="190"/>
      <c r="B135" s="149"/>
      <c r="C135" s="149"/>
      <c r="D135" s="149"/>
      <c r="E135" s="164"/>
      <c r="F135" s="164"/>
    </row>
    <row r="136" spans="1:6" ht="15" hidden="1" customHeight="1" x14ac:dyDescent="0.25">
      <c r="A136" s="190"/>
      <c r="B136" s="149"/>
      <c r="C136" s="149"/>
      <c r="D136" s="149"/>
      <c r="E136" s="164"/>
      <c r="F136" s="164"/>
    </row>
    <row r="137" spans="1:6" ht="15" hidden="1" customHeight="1" x14ac:dyDescent="0.25">
      <c r="A137" s="190"/>
      <c r="B137" s="149"/>
      <c r="C137" s="149"/>
      <c r="D137" s="149"/>
      <c r="E137" s="164"/>
      <c r="F137" s="164"/>
    </row>
    <row r="138" spans="1:6" ht="15" hidden="1" customHeight="1" x14ac:dyDescent="0.25">
      <c r="A138" s="190"/>
      <c r="B138" s="149"/>
      <c r="C138" s="149"/>
      <c r="D138" s="149"/>
      <c r="E138" s="164"/>
      <c r="F138" s="164"/>
    </row>
    <row r="139" spans="1:6" ht="15" hidden="1" customHeight="1" x14ac:dyDescent="0.25">
      <c r="A139" s="190"/>
      <c r="B139" s="149"/>
      <c r="C139" s="149"/>
      <c r="D139" s="149"/>
      <c r="E139" s="164"/>
      <c r="F139" s="164"/>
    </row>
    <row r="140" spans="1:6" ht="15" hidden="1" customHeight="1" x14ac:dyDescent="0.25">
      <c r="A140" s="190"/>
      <c r="B140" s="149"/>
      <c r="C140" s="149"/>
      <c r="D140" s="149"/>
      <c r="E140" s="164"/>
      <c r="F140" s="164"/>
    </row>
    <row r="141" spans="1:6" ht="15" hidden="1" customHeight="1" x14ac:dyDescent="0.25">
      <c r="A141" s="190"/>
      <c r="B141" s="149"/>
      <c r="C141" s="149"/>
      <c r="D141" s="149"/>
      <c r="E141" s="164"/>
      <c r="F141" s="164"/>
    </row>
    <row r="142" spans="1:6" ht="15" hidden="1" customHeight="1" x14ac:dyDescent="0.25">
      <c r="A142" s="190"/>
      <c r="B142" s="149"/>
      <c r="C142" s="149"/>
      <c r="D142" s="149"/>
      <c r="E142" s="164"/>
      <c r="F142" s="164"/>
    </row>
    <row r="143" spans="1:6" ht="15" hidden="1" customHeight="1" x14ac:dyDescent="0.25">
      <c r="A143" s="190"/>
      <c r="B143" s="149"/>
      <c r="C143" s="149"/>
      <c r="D143" s="149"/>
      <c r="E143" s="164"/>
      <c r="F143" s="164"/>
    </row>
    <row r="144" spans="1:6" ht="15" hidden="1" customHeight="1" x14ac:dyDescent="0.25">
      <c r="A144" s="190"/>
      <c r="B144" s="149"/>
      <c r="C144" s="149"/>
      <c r="D144" s="149"/>
      <c r="E144" s="164"/>
      <c r="F144" s="164"/>
    </row>
    <row r="145" spans="1:6" ht="15" hidden="1" customHeight="1" x14ac:dyDescent="0.25">
      <c r="A145" s="190"/>
      <c r="B145" s="149"/>
      <c r="C145" s="149"/>
      <c r="D145" s="149"/>
      <c r="E145" s="164"/>
      <c r="F145" s="164"/>
    </row>
    <row r="146" spans="1:6" ht="15" hidden="1" customHeight="1" x14ac:dyDescent="0.25">
      <c r="A146" s="190"/>
      <c r="B146" s="149"/>
      <c r="C146" s="149"/>
      <c r="D146" s="149"/>
      <c r="E146" s="164"/>
      <c r="F146" s="164"/>
    </row>
    <row r="147" spans="1:6" ht="15" hidden="1" customHeight="1" x14ac:dyDescent="0.25">
      <c r="A147" s="190"/>
      <c r="B147" s="149"/>
      <c r="C147" s="149"/>
      <c r="D147" s="149"/>
      <c r="E147" s="164"/>
      <c r="F147" s="164"/>
    </row>
    <row r="148" spans="1:6" ht="15" hidden="1" customHeight="1" x14ac:dyDescent="0.25">
      <c r="A148" s="190"/>
      <c r="B148" s="149"/>
      <c r="C148" s="149"/>
      <c r="D148" s="149"/>
      <c r="E148" s="164"/>
      <c r="F148" s="164"/>
    </row>
    <row r="149" spans="1:6" ht="15" hidden="1" customHeight="1" x14ac:dyDescent="0.25">
      <c r="A149" s="190"/>
      <c r="B149" s="149"/>
      <c r="C149" s="149"/>
      <c r="D149" s="149"/>
      <c r="E149" s="164"/>
      <c r="F149" s="164"/>
    </row>
    <row r="150" spans="1:6" ht="15" hidden="1" customHeight="1" x14ac:dyDescent="0.25">
      <c r="A150" s="190"/>
      <c r="B150" s="149"/>
      <c r="C150" s="149"/>
      <c r="D150" s="149"/>
      <c r="E150" s="164"/>
      <c r="F150" s="164"/>
    </row>
    <row r="151" spans="1:6" ht="15" hidden="1" customHeight="1" x14ac:dyDescent="0.25">
      <c r="A151" s="190"/>
      <c r="B151" s="149"/>
      <c r="C151" s="149"/>
      <c r="D151" s="149"/>
      <c r="E151" s="164"/>
      <c r="F151" s="164"/>
    </row>
    <row r="152" spans="1:6" ht="15" hidden="1" customHeight="1" x14ac:dyDescent="0.25">
      <c r="A152" s="190"/>
      <c r="B152" s="149"/>
      <c r="C152" s="149"/>
      <c r="D152" s="149"/>
      <c r="E152" s="164"/>
      <c r="F152" s="164"/>
    </row>
    <row r="153" spans="1:6" ht="15" hidden="1" customHeight="1" x14ac:dyDescent="0.25">
      <c r="A153" s="190"/>
      <c r="B153" s="149"/>
      <c r="C153" s="149"/>
      <c r="D153" s="149"/>
      <c r="E153" s="164"/>
      <c r="F153" s="164"/>
    </row>
    <row r="154" spans="1:6" ht="15" hidden="1" customHeight="1" x14ac:dyDescent="0.25">
      <c r="A154" s="190"/>
      <c r="B154" s="149"/>
      <c r="C154" s="149"/>
      <c r="D154" s="149"/>
      <c r="E154" s="164"/>
      <c r="F154" s="164"/>
    </row>
    <row r="155" spans="1:6" ht="15" hidden="1" customHeight="1" x14ac:dyDescent="0.25">
      <c r="A155" s="190"/>
      <c r="B155" s="149"/>
      <c r="C155" s="149"/>
      <c r="D155" s="149"/>
      <c r="E155" s="164"/>
      <c r="F155" s="164"/>
    </row>
    <row r="156" spans="1:6" ht="15" hidden="1" customHeight="1" x14ac:dyDescent="0.25">
      <c r="A156" s="190"/>
      <c r="B156" s="149"/>
      <c r="C156" s="149"/>
      <c r="D156" s="149"/>
      <c r="E156" s="164"/>
      <c r="F156" s="164"/>
    </row>
    <row r="157" spans="1:6" ht="15" hidden="1" customHeight="1" x14ac:dyDescent="0.25">
      <c r="A157" s="190"/>
      <c r="B157" s="149"/>
      <c r="C157" s="149"/>
      <c r="D157" s="149"/>
      <c r="E157" s="164"/>
      <c r="F157" s="164"/>
    </row>
    <row r="158" spans="1:6" ht="15" hidden="1" customHeight="1" x14ac:dyDescent="0.25">
      <c r="A158" s="190"/>
      <c r="B158" s="149"/>
      <c r="C158" s="149"/>
      <c r="D158" s="149"/>
      <c r="E158" s="164"/>
      <c r="F158" s="164"/>
    </row>
    <row r="159" spans="1:6" ht="15" hidden="1" customHeight="1" x14ac:dyDescent="0.25">
      <c r="A159" s="190"/>
      <c r="B159" s="149"/>
      <c r="C159" s="149"/>
      <c r="D159" s="149"/>
      <c r="E159" s="164"/>
      <c r="F159" s="164"/>
    </row>
    <row r="160" spans="1:6" ht="15" hidden="1" customHeight="1" x14ac:dyDescent="0.25">
      <c r="A160" s="190"/>
      <c r="B160" s="149"/>
      <c r="C160" s="149"/>
      <c r="D160" s="149"/>
      <c r="E160" s="164"/>
      <c r="F160" s="164"/>
    </row>
    <row r="161" spans="1:6" ht="15" hidden="1" customHeight="1" x14ac:dyDescent="0.25">
      <c r="A161" s="190"/>
      <c r="B161" s="149"/>
      <c r="C161" s="149"/>
      <c r="D161" s="149"/>
      <c r="E161" s="164"/>
      <c r="F161" s="164"/>
    </row>
    <row r="162" spans="1:6" ht="15" hidden="1" customHeight="1" x14ac:dyDescent="0.25">
      <c r="A162" s="190"/>
      <c r="B162" s="149"/>
      <c r="C162" s="149"/>
      <c r="D162" s="149"/>
      <c r="E162" s="164"/>
      <c r="F162" s="164"/>
    </row>
    <row r="163" spans="1:6" ht="15" hidden="1" customHeight="1" x14ac:dyDescent="0.25">
      <c r="A163" s="190"/>
      <c r="B163" s="149"/>
      <c r="C163" s="149"/>
      <c r="D163" s="149"/>
      <c r="E163" s="164"/>
      <c r="F163" s="164"/>
    </row>
    <row r="164" spans="1:6" ht="15" hidden="1" customHeight="1" x14ac:dyDescent="0.25">
      <c r="A164" s="190"/>
      <c r="B164" s="149"/>
      <c r="C164" s="149"/>
      <c r="D164" s="149"/>
      <c r="E164" s="164"/>
      <c r="F164" s="164"/>
    </row>
    <row r="165" spans="1:6" ht="15" hidden="1" customHeight="1" x14ac:dyDescent="0.25">
      <c r="A165" s="190"/>
      <c r="B165" s="149"/>
      <c r="C165" s="149"/>
      <c r="D165" s="149"/>
      <c r="E165" s="164"/>
      <c r="F165" s="164"/>
    </row>
    <row r="166" spans="1:6" ht="15" hidden="1" customHeight="1" x14ac:dyDescent="0.25">
      <c r="A166" s="190"/>
      <c r="B166" s="149"/>
      <c r="C166" s="149"/>
      <c r="D166" s="149"/>
      <c r="E166" s="164"/>
      <c r="F166" s="164"/>
    </row>
    <row r="167" spans="1:6" ht="15" hidden="1" customHeight="1" x14ac:dyDescent="0.25">
      <c r="A167" s="190"/>
      <c r="B167" s="149"/>
      <c r="C167" s="149"/>
      <c r="D167" s="149"/>
      <c r="E167" s="164"/>
      <c r="F167" s="164"/>
    </row>
    <row r="168" spans="1:6" ht="15" hidden="1" customHeight="1" x14ac:dyDescent="0.25">
      <c r="A168" s="190"/>
      <c r="B168" s="149"/>
      <c r="C168" s="149"/>
      <c r="D168" s="149"/>
      <c r="E168" s="164"/>
      <c r="F168" s="164"/>
    </row>
    <row r="169" spans="1:6" ht="15" hidden="1" customHeight="1" x14ac:dyDescent="0.25">
      <c r="A169" s="190"/>
      <c r="B169" s="149"/>
      <c r="C169" s="149"/>
      <c r="D169" s="149"/>
      <c r="E169" s="164"/>
      <c r="F169" s="164"/>
    </row>
    <row r="170" spans="1:6" ht="15" hidden="1" customHeight="1" x14ac:dyDescent="0.25">
      <c r="A170" s="190"/>
      <c r="B170" s="149"/>
      <c r="C170" s="149"/>
      <c r="D170" s="149"/>
      <c r="E170" s="164"/>
      <c r="F170" s="164"/>
    </row>
    <row r="171" spans="1:6" ht="15" hidden="1" customHeight="1" x14ac:dyDescent="0.25">
      <c r="A171" s="190"/>
      <c r="B171" s="149"/>
      <c r="C171" s="149"/>
      <c r="D171" s="149"/>
      <c r="E171" s="164"/>
      <c r="F171" s="164"/>
    </row>
    <row r="172" spans="1:6" ht="15" hidden="1" customHeight="1" x14ac:dyDescent="0.25">
      <c r="A172" s="190"/>
      <c r="B172" s="149"/>
      <c r="C172" s="149"/>
      <c r="D172" s="149"/>
      <c r="E172" s="164"/>
      <c r="F172" s="164"/>
    </row>
    <row r="173" spans="1:6" ht="15" hidden="1" customHeight="1" x14ac:dyDescent="0.25">
      <c r="A173" s="190"/>
      <c r="B173" s="149"/>
      <c r="C173" s="149"/>
      <c r="D173" s="149"/>
      <c r="E173" s="164"/>
      <c r="F173" s="164"/>
    </row>
    <row r="174" spans="1:6" ht="15" hidden="1" customHeight="1" x14ac:dyDescent="0.25">
      <c r="A174" s="190"/>
      <c r="B174" s="149"/>
      <c r="C174" s="149"/>
      <c r="D174" s="149"/>
      <c r="E174" s="164"/>
      <c r="F174" s="164"/>
    </row>
    <row r="175" spans="1:6" ht="15" hidden="1" customHeight="1" x14ac:dyDescent="0.25">
      <c r="A175" s="190"/>
      <c r="B175" s="149"/>
      <c r="C175" s="149"/>
      <c r="D175" s="149"/>
      <c r="E175" s="164"/>
      <c r="F175" s="164"/>
    </row>
    <row r="176" spans="1:6" ht="15" hidden="1" customHeight="1" x14ac:dyDescent="0.25">
      <c r="A176" s="190"/>
      <c r="B176" s="149"/>
      <c r="C176" s="149"/>
      <c r="D176" s="149"/>
      <c r="E176" s="164"/>
      <c r="F176" s="164"/>
    </row>
    <row r="177" spans="1:6" ht="15" hidden="1" customHeight="1" x14ac:dyDescent="0.25">
      <c r="A177" s="190"/>
      <c r="B177" s="149"/>
      <c r="C177" s="149"/>
      <c r="D177" s="149"/>
      <c r="E177" s="164"/>
      <c r="F177" s="164"/>
    </row>
    <row r="178" spans="1:6" ht="15" hidden="1" customHeight="1" x14ac:dyDescent="0.25">
      <c r="A178" s="190"/>
      <c r="B178" s="149"/>
      <c r="C178" s="149"/>
      <c r="D178" s="149"/>
      <c r="E178" s="164"/>
      <c r="F178" s="164"/>
    </row>
    <row r="179" spans="1:6" ht="15" hidden="1" customHeight="1" x14ac:dyDescent="0.25">
      <c r="A179" s="190"/>
      <c r="B179" s="149"/>
      <c r="C179" s="149"/>
      <c r="D179" s="149"/>
      <c r="E179" s="164"/>
      <c r="F179" s="164"/>
    </row>
    <row r="180" spans="1:6" ht="15" hidden="1" customHeight="1" x14ac:dyDescent="0.25">
      <c r="A180" s="190"/>
      <c r="B180" s="149"/>
      <c r="C180" s="149"/>
      <c r="D180" s="149"/>
      <c r="E180" s="164"/>
      <c r="F180" s="164"/>
    </row>
    <row r="181" spans="1:6" ht="15" hidden="1" customHeight="1" x14ac:dyDescent="0.25">
      <c r="A181" s="190"/>
      <c r="B181" s="149"/>
      <c r="C181" s="149"/>
      <c r="D181" s="149"/>
      <c r="E181" s="164"/>
      <c r="F181" s="164"/>
    </row>
    <row r="182" spans="1:6" ht="15" hidden="1" customHeight="1" x14ac:dyDescent="0.25">
      <c r="A182" s="190"/>
      <c r="B182" s="149"/>
      <c r="C182" s="149"/>
      <c r="D182" s="149"/>
      <c r="E182" s="164"/>
      <c r="F182" s="164"/>
    </row>
    <row r="183" spans="1:6" ht="15" hidden="1" customHeight="1" x14ac:dyDescent="0.25">
      <c r="A183" s="190"/>
      <c r="B183" s="149"/>
      <c r="C183" s="149"/>
      <c r="D183" s="149"/>
      <c r="E183" s="164"/>
      <c r="F183" s="164"/>
    </row>
    <row r="184" spans="1:6" ht="15" hidden="1" customHeight="1" x14ac:dyDescent="0.25">
      <c r="A184" s="190"/>
      <c r="B184" s="149"/>
      <c r="C184" s="149"/>
      <c r="D184" s="149"/>
      <c r="E184" s="164"/>
      <c r="F184" s="164"/>
    </row>
    <row r="185" spans="1:6" ht="15" hidden="1" customHeight="1" x14ac:dyDescent="0.25">
      <c r="A185" s="190"/>
      <c r="B185" s="149"/>
      <c r="C185" s="149"/>
      <c r="D185" s="149"/>
      <c r="E185" s="164"/>
      <c r="F185" s="164"/>
    </row>
    <row r="186" spans="1:6" ht="15" hidden="1" customHeight="1" x14ac:dyDescent="0.25">
      <c r="A186" s="190"/>
      <c r="B186" s="149"/>
      <c r="C186" s="149"/>
      <c r="D186" s="149"/>
      <c r="E186" s="164"/>
      <c r="F186" s="164"/>
    </row>
    <row r="187" spans="1:6" ht="15" hidden="1" customHeight="1" x14ac:dyDescent="0.25">
      <c r="A187" s="190"/>
      <c r="B187" s="149"/>
      <c r="C187" s="149"/>
      <c r="D187" s="149"/>
      <c r="E187" s="164"/>
      <c r="F187" s="164"/>
    </row>
    <row r="188" spans="1:6" ht="15" hidden="1" customHeight="1" x14ac:dyDescent="0.25">
      <c r="A188" s="190"/>
      <c r="B188" s="149"/>
      <c r="C188" s="149"/>
      <c r="D188" s="149"/>
      <c r="E188" s="164"/>
      <c r="F188" s="164"/>
    </row>
    <row r="189" spans="1:6" ht="15" hidden="1" customHeight="1" x14ac:dyDescent="0.25">
      <c r="A189" s="190"/>
      <c r="B189" s="149"/>
      <c r="C189" s="149"/>
      <c r="D189" s="149"/>
      <c r="E189" s="164"/>
      <c r="F189" s="164"/>
    </row>
    <row r="190" spans="1:6" ht="15" hidden="1" customHeight="1" x14ac:dyDescent="0.25">
      <c r="A190" s="190"/>
      <c r="B190" s="149"/>
      <c r="C190" s="149"/>
      <c r="D190" s="149"/>
      <c r="E190" s="164"/>
      <c r="F190" s="164"/>
    </row>
    <row r="191" spans="1:6" ht="15" hidden="1" customHeight="1" x14ac:dyDescent="0.25">
      <c r="A191" s="190"/>
      <c r="B191" s="149"/>
      <c r="C191" s="149"/>
      <c r="D191" s="149"/>
      <c r="E191" s="164"/>
      <c r="F191" s="164"/>
    </row>
    <row r="192" spans="1:6" ht="15" hidden="1" customHeight="1" x14ac:dyDescent="0.25">
      <c r="A192" s="190"/>
      <c r="B192" s="149"/>
      <c r="C192" s="149"/>
      <c r="D192" s="149"/>
      <c r="E192" s="164"/>
      <c r="F192" s="164"/>
    </row>
    <row r="193" spans="1:6" ht="15" hidden="1" customHeight="1" x14ac:dyDescent="0.25">
      <c r="A193" s="190"/>
      <c r="B193" s="149"/>
      <c r="C193" s="149"/>
      <c r="D193" s="149"/>
      <c r="E193" s="164"/>
      <c r="F193" s="164"/>
    </row>
    <row r="194" spans="1:6" ht="15" hidden="1" customHeight="1" x14ac:dyDescent="0.25">
      <c r="A194" s="190"/>
      <c r="B194" s="149"/>
      <c r="C194" s="149"/>
      <c r="D194" s="149"/>
      <c r="E194" s="164"/>
      <c r="F194" s="164"/>
    </row>
    <row r="195" spans="1:6" ht="15" hidden="1" customHeight="1" x14ac:dyDescent="0.25">
      <c r="A195" s="190"/>
      <c r="B195" s="149"/>
      <c r="C195" s="149"/>
      <c r="D195" s="149"/>
      <c r="E195" s="164"/>
      <c r="F195" s="164"/>
    </row>
    <row r="196" spans="1:6" ht="15" hidden="1" customHeight="1" x14ac:dyDescent="0.25">
      <c r="A196" s="190"/>
      <c r="B196" s="149"/>
      <c r="C196" s="149"/>
      <c r="D196" s="149"/>
      <c r="E196" s="164"/>
      <c r="F196" s="164"/>
    </row>
    <row r="197" spans="1:6" ht="15" hidden="1" customHeight="1" x14ac:dyDescent="0.25">
      <c r="A197" s="190"/>
      <c r="B197" s="149"/>
      <c r="C197" s="149"/>
      <c r="D197" s="149"/>
      <c r="E197" s="164"/>
      <c r="F197" s="164"/>
    </row>
    <row r="198" spans="1:6" ht="15" hidden="1" customHeight="1" x14ac:dyDescent="0.25">
      <c r="A198" s="190"/>
      <c r="B198" s="149"/>
      <c r="C198" s="149"/>
      <c r="D198" s="149"/>
      <c r="E198" s="164"/>
      <c r="F198" s="164"/>
    </row>
    <row r="199" spans="1:6" ht="15" hidden="1" customHeight="1" x14ac:dyDescent="0.25">
      <c r="A199" s="190"/>
      <c r="B199" s="149"/>
      <c r="C199" s="149"/>
      <c r="D199" s="149"/>
      <c r="E199" s="164"/>
      <c r="F199" s="164"/>
    </row>
    <row r="200" spans="1:6" ht="15" hidden="1" customHeight="1" x14ac:dyDescent="0.25">
      <c r="A200" s="190"/>
      <c r="B200" s="149"/>
      <c r="C200" s="149"/>
      <c r="D200" s="149"/>
      <c r="E200" s="164"/>
      <c r="F200" s="164"/>
    </row>
    <row r="201" spans="1:6" ht="15" hidden="1" customHeight="1" x14ac:dyDescent="0.25">
      <c r="A201" s="190"/>
      <c r="B201" s="149"/>
      <c r="C201" s="149"/>
      <c r="D201" s="149"/>
      <c r="E201" s="164"/>
      <c r="F201" s="164"/>
    </row>
    <row r="202" spans="1:6" ht="15" hidden="1" customHeight="1" x14ac:dyDescent="0.25">
      <c r="A202" s="190"/>
      <c r="B202" s="149"/>
      <c r="C202" s="149"/>
      <c r="D202" s="149"/>
      <c r="E202" s="164"/>
      <c r="F202" s="164"/>
    </row>
    <row r="203" spans="1:6" ht="15" hidden="1" customHeight="1" x14ac:dyDescent="0.25">
      <c r="A203" s="190"/>
      <c r="B203" s="149"/>
      <c r="C203" s="149"/>
      <c r="D203" s="149"/>
      <c r="E203" s="164"/>
      <c r="F203" s="164"/>
    </row>
    <row r="204" spans="1:6" ht="15" hidden="1" customHeight="1" x14ac:dyDescent="0.25">
      <c r="A204" s="190"/>
      <c r="B204" s="149"/>
      <c r="C204" s="149"/>
      <c r="D204" s="149"/>
      <c r="E204" s="164"/>
      <c r="F204" s="164"/>
    </row>
    <row r="205" spans="1:6" ht="15" hidden="1" customHeight="1" x14ac:dyDescent="0.25">
      <c r="A205" s="190"/>
      <c r="B205" s="149"/>
      <c r="C205" s="149"/>
      <c r="D205" s="149"/>
      <c r="E205" s="164"/>
      <c r="F205" s="164"/>
    </row>
    <row r="206" spans="1:6" ht="15" hidden="1" customHeight="1" x14ac:dyDescent="0.25">
      <c r="A206" s="190"/>
      <c r="B206" s="149"/>
      <c r="C206" s="149"/>
      <c r="D206" s="149"/>
      <c r="E206" s="164"/>
      <c r="F206" s="164"/>
    </row>
    <row r="207" spans="1:6" ht="15" hidden="1" customHeight="1" x14ac:dyDescent="0.25">
      <c r="A207" s="190"/>
      <c r="B207" s="149"/>
      <c r="C207" s="149"/>
      <c r="D207" s="149"/>
      <c r="E207" s="164"/>
      <c r="F207" s="164"/>
    </row>
    <row r="208" spans="1:6" ht="15" hidden="1" customHeight="1" x14ac:dyDescent="0.25">
      <c r="A208" s="190"/>
      <c r="B208" s="149"/>
      <c r="C208" s="149"/>
      <c r="D208" s="149"/>
      <c r="E208" s="164"/>
      <c r="F208" s="164"/>
    </row>
    <row r="209" spans="1:6" ht="15" hidden="1" customHeight="1" x14ac:dyDescent="0.25">
      <c r="A209" s="190"/>
      <c r="B209" s="149"/>
      <c r="C209" s="149"/>
      <c r="D209" s="149"/>
      <c r="E209" s="164"/>
      <c r="F209" s="164"/>
    </row>
    <row r="210" spans="1:6" ht="15" hidden="1" customHeight="1" x14ac:dyDescent="0.25">
      <c r="A210" s="190"/>
      <c r="B210" s="149"/>
      <c r="C210" s="149"/>
      <c r="D210" s="149"/>
      <c r="E210" s="164"/>
      <c r="F210" s="164"/>
    </row>
    <row r="211" spans="1:6" ht="15" hidden="1" customHeight="1" x14ac:dyDescent="0.25">
      <c r="A211" s="190"/>
      <c r="B211" s="149"/>
      <c r="C211" s="149"/>
      <c r="D211" s="149"/>
      <c r="E211" s="164"/>
      <c r="F211" s="164"/>
    </row>
    <row r="212" spans="1:6" ht="15" hidden="1" customHeight="1" x14ac:dyDescent="0.25">
      <c r="A212" s="190"/>
      <c r="B212" s="149"/>
      <c r="C212" s="149"/>
      <c r="D212" s="149"/>
      <c r="E212" s="164"/>
      <c r="F212" s="164"/>
    </row>
    <row r="213" spans="1:6" ht="15" hidden="1" customHeight="1" x14ac:dyDescent="0.25">
      <c r="A213" s="190"/>
      <c r="B213" s="149"/>
      <c r="C213" s="149"/>
      <c r="D213" s="149"/>
      <c r="E213" s="164"/>
      <c r="F213" s="164"/>
    </row>
    <row r="214" spans="1:6" ht="15" hidden="1" customHeight="1" x14ac:dyDescent="0.25">
      <c r="A214" s="190"/>
      <c r="B214" s="149"/>
      <c r="C214" s="149"/>
      <c r="D214" s="149"/>
      <c r="E214" s="164"/>
      <c r="F214" s="164"/>
    </row>
    <row r="215" spans="1:6" ht="15" hidden="1" customHeight="1" x14ac:dyDescent="0.25">
      <c r="A215" s="190"/>
      <c r="B215" s="149"/>
      <c r="C215" s="149"/>
      <c r="D215" s="149"/>
      <c r="E215" s="164"/>
      <c r="F215" s="164"/>
    </row>
    <row r="216" spans="1:6" ht="15" hidden="1" customHeight="1" x14ac:dyDescent="0.25">
      <c r="A216" s="190"/>
      <c r="B216" s="149"/>
      <c r="C216" s="149"/>
      <c r="D216" s="149"/>
      <c r="E216" s="164"/>
      <c r="F216" s="164"/>
    </row>
    <row r="217" spans="1:6" ht="15" hidden="1" customHeight="1" x14ac:dyDescent="0.25">
      <c r="A217" s="190"/>
      <c r="B217" s="149"/>
      <c r="C217" s="149"/>
      <c r="D217" s="149"/>
      <c r="E217" s="164"/>
      <c r="F217" s="164"/>
    </row>
    <row r="218" spans="1:6" ht="15" hidden="1" customHeight="1" x14ac:dyDescent="0.25">
      <c r="A218" s="190"/>
      <c r="B218" s="149"/>
      <c r="C218" s="149"/>
      <c r="D218" s="149"/>
      <c r="E218" s="164"/>
      <c r="F218" s="164"/>
    </row>
    <row r="219" spans="1:6" ht="15" hidden="1" customHeight="1" x14ac:dyDescent="0.25">
      <c r="A219" s="190"/>
      <c r="B219" s="149"/>
      <c r="C219" s="149"/>
      <c r="D219" s="149"/>
      <c r="E219" s="164"/>
      <c r="F219" s="164"/>
    </row>
    <row r="220" spans="1:6" ht="15" hidden="1" customHeight="1" x14ac:dyDescent="0.25">
      <c r="A220" s="190"/>
      <c r="B220" s="149"/>
      <c r="C220" s="149"/>
      <c r="D220" s="149"/>
      <c r="E220" s="164"/>
      <c r="F220" s="164"/>
    </row>
    <row r="221" spans="1:6" ht="15" hidden="1" customHeight="1" x14ac:dyDescent="0.25">
      <c r="A221" s="190"/>
      <c r="B221" s="149"/>
      <c r="C221" s="149"/>
      <c r="D221" s="149"/>
      <c r="E221" s="164"/>
      <c r="F221" s="164"/>
    </row>
    <row r="222" spans="1:6" ht="15" hidden="1" customHeight="1" x14ac:dyDescent="0.25">
      <c r="A222" s="190"/>
      <c r="B222" s="149"/>
      <c r="C222" s="149"/>
      <c r="D222" s="149"/>
      <c r="E222" s="164"/>
      <c r="F222" s="164"/>
    </row>
    <row r="223" spans="1:6" ht="15" hidden="1" customHeight="1" x14ac:dyDescent="0.25">
      <c r="A223" s="190"/>
      <c r="B223" s="149"/>
      <c r="C223" s="149"/>
      <c r="D223" s="149"/>
      <c r="E223" s="164"/>
      <c r="F223" s="164"/>
    </row>
    <row r="224" spans="1:6" ht="15" hidden="1" customHeight="1" x14ac:dyDescent="0.25">
      <c r="A224" s="190"/>
      <c r="B224" s="149"/>
      <c r="C224" s="149"/>
      <c r="D224" s="149"/>
      <c r="E224" s="164"/>
      <c r="F224" s="164"/>
    </row>
    <row r="225" spans="1:6" ht="15" hidden="1" customHeight="1" x14ac:dyDescent="0.25">
      <c r="A225" s="190"/>
      <c r="B225" s="149"/>
      <c r="C225" s="149"/>
      <c r="D225" s="149"/>
      <c r="E225" s="164"/>
      <c r="F225" s="164"/>
    </row>
    <row r="226" spans="1:6" ht="15" hidden="1" customHeight="1" x14ac:dyDescent="0.25">
      <c r="A226" s="190"/>
      <c r="B226" s="149"/>
      <c r="C226" s="149"/>
      <c r="D226" s="149"/>
      <c r="E226" s="164"/>
      <c r="F226" s="164"/>
    </row>
    <row r="227" spans="1:6" ht="15" hidden="1" customHeight="1" x14ac:dyDescent="0.25">
      <c r="A227" s="190"/>
      <c r="B227" s="149"/>
      <c r="C227" s="149"/>
      <c r="D227" s="149"/>
      <c r="E227" s="164"/>
      <c r="F227" s="164"/>
    </row>
    <row r="228" spans="1:6" ht="15" hidden="1" customHeight="1" x14ac:dyDescent="0.25">
      <c r="A228" s="190"/>
      <c r="B228" s="149"/>
      <c r="C228" s="149"/>
      <c r="D228" s="149"/>
      <c r="E228" s="164"/>
      <c r="F228" s="164"/>
    </row>
    <row r="229" spans="1:6" ht="15" hidden="1" customHeight="1" x14ac:dyDescent="0.25">
      <c r="A229" s="190"/>
      <c r="B229" s="149"/>
      <c r="C229" s="149"/>
      <c r="D229" s="149"/>
      <c r="E229" s="164"/>
      <c r="F229" s="164"/>
    </row>
    <row r="230" spans="1:6" ht="15" hidden="1" customHeight="1" x14ac:dyDescent="0.25">
      <c r="A230" s="190"/>
      <c r="B230" s="149"/>
      <c r="C230" s="149"/>
      <c r="D230" s="149"/>
      <c r="E230" s="164"/>
      <c r="F230" s="164"/>
    </row>
    <row r="231" spans="1:6" ht="15" hidden="1" customHeight="1" x14ac:dyDescent="0.25">
      <c r="A231" s="190"/>
      <c r="B231" s="149"/>
      <c r="C231" s="149"/>
      <c r="D231" s="149"/>
      <c r="E231" s="164"/>
      <c r="F231" s="164"/>
    </row>
    <row r="232" spans="1:6" ht="15" hidden="1" customHeight="1" x14ac:dyDescent="0.25">
      <c r="A232" s="190"/>
      <c r="B232" s="149"/>
      <c r="C232" s="149"/>
      <c r="D232" s="149"/>
      <c r="E232" s="164"/>
      <c r="F232" s="164"/>
    </row>
    <row r="233" spans="1:6" ht="15" hidden="1" customHeight="1" x14ac:dyDescent="0.25">
      <c r="A233" s="190"/>
      <c r="B233" s="149"/>
      <c r="C233" s="149"/>
      <c r="D233" s="149"/>
      <c r="E233" s="164"/>
      <c r="F233" s="164"/>
    </row>
    <row r="234" spans="1:6" ht="15" hidden="1" customHeight="1" x14ac:dyDescent="0.25">
      <c r="A234" s="190"/>
      <c r="B234" s="149"/>
      <c r="C234" s="149"/>
      <c r="D234" s="149"/>
      <c r="E234" s="164"/>
      <c r="F234" s="164"/>
    </row>
    <row r="235" spans="1:6" ht="15" hidden="1" customHeight="1" x14ac:dyDescent="0.25">
      <c r="A235" s="190"/>
      <c r="B235" s="149"/>
      <c r="C235" s="149"/>
      <c r="D235" s="149"/>
      <c r="E235" s="164"/>
      <c r="F235" s="164"/>
    </row>
    <row r="236" spans="1:6" ht="15" hidden="1" customHeight="1" x14ac:dyDescent="0.25">
      <c r="A236" s="190"/>
      <c r="B236" s="149"/>
      <c r="C236" s="149"/>
      <c r="D236" s="149"/>
      <c r="E236" s="164"/>
      <c r="F236" s="164"/>
    </row>
    <row r="237" spans="1:6" ht="15" hidden="1" customHeight="1" x14ac:dyDescent="0.25">
      <c r="A237" s="190"/>
      <c r="B237" s="149"/>
      <c r="C237" s="149"/>
      <c r="D237" s="149"/>
      <c r="E237" s="164"/>
      <c r="F237" s="164"/>
    </row>
    <row r="238" spans="1:6" ht="15" hidden="1" customHeight="1" x14ac:dyDescent="0.25">
      <c r="A238" s="190"/>
      <c r="B238" s="149"/>
      <c r="C238" s="149"/>
      <c r="D238" s="149"/>
      <c r="E238" s="164"/>
      <c r="F238" s="164"/>
    </row>
    <row r="239" spans="1:6" ht="15" hidden="1" customHeight="1" x14ac:dyDescent="0.25">
      <c r="A239" s="190"/>
      <c r="B239" s="149"/>
      <c r="C239" s="149"/>
      <c r="D239" s="149"/>
      <c r="E239" s="164"/>
      <c r="F239" s="164"/>
    </row>
    <row r="240" spans="1:6" ht="15" hidden="1" customHeight="1" x14ac:dyDescent="0.25">
      <c r="A240" s="190"/>
      <c r="B240" s="149"/>
      <c r="C240" s="149"/>
      <c r="D240" s="149"/>
      <c r="E240" s="164"/>
      <c r="F240" s="164"/>
    </row>
    <row r="241" spans="1:6" ht="15" hidden="1" customHeight="1" x14ac:dyDescent="0.25">
      <c r="A241" s="190"/>
      <c r="B241" s="149"/>
      <c r="C241" s="149"/>
      <c r="D241" s="149"/>
      <c r="E241" s="164"/>
      <c r="F241" s="164"/>
    </row>
    <row r="242" spans="1:6" ht="15" hidden="1" customHeight="1" x14ac:dyDescent="0.25">
      <c r="A242" s="190"/>
      <c r="B242" s="149"/>
      <c r="C242" s="149"/>
      <c r="D242" s="149"/>
      <c r="E242" s="164"/>
      <c r="F242" s="164"/>
    </row>
    <row r="243" spans="1:6" ht="15" hidden="1" customHeight="1" x14ac:dyDescent="0.25">
      <c r="A243" s="190"/>
      <c r="B243" s="149"/>
      <c r="C243" s="149"/>
      <c r="D243" s="149"/>
      <c r="E243" s="164"/>
      <c r="F243" s="164"/>
    </row>
    <row r="244" spans="1:6" ht="15" hidden="1" customHeight="1" x14ac:dyDescent="0.25">
      <c r="A244" s="190"/>
      <c r="B244" s="149"/>
      <c r="C244" s="149"/>
      <c r="D244" s="149"/>
      <c r="E244" s="164"/>
      <c r="F244" s="164"/>
    </row>
    <row r="245" spans="1:6" ht="15" hidden="1" customHeight="1" x14ac:dyDescent="0.25">
      <c r="A245" s="190"/>
      <c r="B245" s="149"/>
      <c r="C245" s="149"/>
      <c r="D245" s="149"/>
      <c r="E245" s="164"/>
      <c r="F245" s="164"/>
    </row>
    <row r="246" spans="1:6" ht="15" hidden="1" customHeight="1" x14ac:dyDescent="0.25">
      <c r="A246" s="190"/>
      <c r="B246" s="149"/>
      <c r="C246" s="149"/>
      <c r="D246" s="149"/>
      <c r="E246" s="164"/>
      <c r="F246" s="164"/>
    </row>
    <row r="247" spans="1:6" ht="15" hidden="1" customHeight="1" x14ac:dyDescent="0.25">
      <c r="A247" s="190"/>
      <c r="B247" s="149"/>
      <c r="C247" s="149"/>
      <c r="D247" s="149"/>
      <c r="E247" s="164"/>
      <c r="F247" s="164"/>
    </row>
    <row r="248" spans="1:6" ht="15" hidden="1" customHeight="1" x14ac:dyDescent="0.25">
      <c r="A248" s="190"/>
      <c r="B248" s="149"/>
      <c r="C248" s="149"/>
      <c r="D248" s="149"/>
      <c r="E248" s="164"/>
      <c r="F248" s="164"/>
    </row>
    <row r="249" spans="1:6" ht="15" hidden="1" customHeight="1" x14ac:dyDescent="0.25">
      <c r="A249" s="190"/>
      <c r="B249" s="149"/>
      <c r="C249" s="149"/>
      <c r="D249" s="149"/>
      <c r="E249" s="7"/>
      <c r="F249" s="7"/>
    </row>
    <row r="250" spans="1:6" ht="15" hidden="1" customHeight="1" x14ac:dyDescent="0.25">
      <c r="A250" s="190"/>
      <c r="B250" s="149"/>
      <c r="C250" s="149"/>
      <c r="D250" s="149"/>
      <c r="E250" s="7"/>
      <c r="F250" s="7"/>
    </row>
    <row r="251" spans="1:6" ht="15" hidden="1" customHeight="1" x14ac:dyDescent="0.25">
      <c r="A251" s="190"/>
      <c r="B251" s="149"/>
      <c r="C251" s="149"/>
      <c r="D251" s="149"/>
      <c r="E251" s="7"/>
      <c r="F251" s="7"/>
    </row>
    <row r="252" spans="1:6" ht="15" hidden="1" customHeight="1" x14ac:dyDescent="0.25">
      <c r="A252" s="190"/>
      <c r="B252" s="149"/>
      <c r="C252" s="149"/>
      <c r="D252" s="149"/>
      <c r="E252" s="7"/>
      <c r="F252" s="7"/>
    </row>
    <row r="253" spans="1:6" ht="15" hidden="1" customHeight="1" x14ac:dyDescent="0.25">
      <c r="A253" s="190"/>
      <c r="B253" s="149"/>
      <c r="C253" s="149"/>
      <c r="D253" s="149"/>
      <c r="E253" s="7"/>
      <c r="F253" s="7"/>
    </row>
    <row r="254" spans="1:6" ht="15" hidden="1" customHeight="1" x14ac:dyDescent="0.25">
      <c r="A254" s="190"/>
      <c r="B254" s="149"/>
      <c r="C254" s="149"/>
      <c r="D254" s="149"/>
      <c r="E254" s="7"/>
      <c r="F254" s="7"/>
    </row>
    <row r="255" spans="1:6" ht="15" hidden="1" customHeight="1" x14ac:dyDescent="0.25">
      <c r="A255" s="190"/>
      <c r="B255" s="149"/>
      <c r="C255" s="149"/>
      <c r="D255" s="149"/>
      <c r="E255" s="7"/>
      <c r="F255" s="7"/>
    </row>
    <row r="256" spans="1:6" ht="15" hidden="1" customHeight="1" x14ac:dyDescent="0.25">
      <c r="A256" s="190"/>
      <c r="B256" s="149"/>
      <c r="C256" s="149"/>
      <c r="D256" s="149"/>
      <c r="E256" s="7"/>
      <c r="F256" s="7"/>
    </row>
    <row r="257" spans="1:6" ht="15" hidden="1" customHeight="1" x14ac:dyDescent="0.25">
      <c r="A257" s="190"/>
      <c r="B257" s="149"/>
      <c r="C257" s="149"/>
      <c r="D257" s="149"/>
      <c r="E257" s="7"/>
      <c r="F257" s="7"/>
    </row>
    <row r="258" spans="1:6" ht="15" hidden="1" customHeight="1" x14ac:dyDescent="0.25">
      <c r="A258" s="190"/>
      <c r="B258" s="149"/>
      <c r="C258" s="149"/>
      <c r="D258" s="149"/>
      <c r="E258" s="7"/>
      <c r="F258" s="7"/>
    </row>
    <row r="259" spans="1:6" ht="15" hidden="1" customHeight="1" x14ac:dyDescent="0.25">
      <c r="A259" s="190"/>
      <c r="B259" s="149"/>
      <c r="C259" s="149"/>
      <c r="D259" s="149"/>
      <c r="E259" s="7"/>
      <c r="F259" s="7"/>
    </row>
    <row r="260" spans="1:6" ht="15" hidden="1" customHeight="1" x14ac:dyDescent="0.25">
      <c r="A260" s="190"/>
      <c r="B260" s="149"/>
      <c r="C260" s="149"/>
      <c r="D260" s="149"/>
      <c r="E260" s="7"/>
      <c r="F260" s="7"/>
    </row>
    <row r="261" spans="1:6" ht="15" hidden="1" customHeight="1" x14ac:dyDescent="0.25">
      <c r="A261" s="190"/>
      <c r="B261" s="149"/>
      <c r="C261" s="149"/>
      <c r="D261" s="149"/>
      <c r="E261" s="7"/>
      <c r="F261" s="7"/>
    </row>
    <row r="262" spans="1:6" ht="15" hidden="1" customHeight="1" x14ac:dyDescent="0.25">
      <c r="A262" s="190"/>
      <c r="B262" s="149"/>
      <c r="C262" s="149"/>
      <c r="D262" s="149"/>
      <c r="E262" s="7"/>
      <c r="F262" s="7"/>
    </row>
    <row r="263" spans="1:6" ht="15" hidden="1" customHeight="1" x14ac:dyDescent="0.25">
      <c r="A263" s="190"/>
      <c r="B263" s="149"/>
      <c r="C263" s="149"/>
      <c r="D263" s="149"/>
      <c r="E263" s="7"/>
      <c r="F263" s="7"/>
    </row>
    <row r="264" spans="1:6" ht="15" hidden="1" customHeight="1" x14ac:dyDescent="0.25">
      <c r="A264" s="190"/>
      <c r="B264" s="149"/>
      <c r="C264" s="149"/>
      <c r="D264" s="149"/>
      <c r="E264" s="7"/>
      <c r="F264" s="7"/>
    </row>
    <row r="265" spans="1:6" ht="15" hidden="1" customHeight="1" x14ac:dyDescent="0.25">
      <c r="A265" s="190"/>
      <c r="B265" s="149"/>
      <c r="C265" s="149"/>
      <c r="D265" s="149"/>
      <c r="E265" s="7"/>
      <c r="F265" s="7"/>
    </row>
    <row r="266" spans="1:6" ht="15" hidden="1" customHeight="1" x14ac:dyDescent="0.25">
      <c r="A266" s="190"/>
      <c r="B266" s="149"/>
      <c r="C266" s="149"/>
      <c r="D266" s="149"/>
      <c r="E266" s="7"/>
      <c r="F266" s="7"/>
    </row>
    <row r="267" spans="1:6" ht="15" hidden="1" customHeight="1" x14ac:dyDescent="0.25">
      <c r="A267" s="190"/>
      <c r="B267" s="149"/>
      <c r="C267" s="149"/>
      <c r="D267" s="149"/>
      <c r="E267" s="7"/>
      <c r="F267" s="7"/>
    </row>
    <row r="268" spans="1:6" ht="15" hidden="1" customHeight="1" x14ac:dyDescent="0.25">
      <c r="A268" s="190"/>
      <c r="B268" s="149"/>
      <c r="C268" s="149"/>
      <c r="D268" s="149"/>
      <c r="E268" s="7"/>
      <c r="F268" s="7"/>
    </row>
    <row r="269" spans="1:6" ht="15" hidden="1" customHeight="1" x14ac:dyDescent="0.25">
      <c r="A269" s="190"/>
      <c r="B269" s="149"/>
      <c r="C269" s="149"/>
      <c r="D269" s="149"/>
      <c r="E269" s="7"/>
      <c r="F269" s="7"/>
    </row>
    <row r="270" spans="1:6" ht="15" hidden="1" customHeight="1" x14ac:dyDescent="0.25">
      <c r="A270" s="190"/>
      <c r="B270" s="149"/>
      <c r="C270" s="149"/>
      <c r="D270" s="149"/>
      <c r="E270" s="7"/>
      <c r="F270" s="7"/>
    </row>
    <row r="271" spans="1:6" ht="15" hidden="1" customHeight="1" x14ac:dyDescent="0.25">
      <c r="A271" s="190"/>
      <c r="B271" s="149"/>
      <c r="C271" s="149"/>
      <c r="D271" s="149"/>
      <c r="E271" s="7"/>
      <c r="F271" s="7"/>
    </row>
    <row r="272" spans="1:6" ht="15" hidden="1" customHeight="1" x14ac:dyDescent="0.25">
      <c r="A272" s="190"/>
      <c r="B272" s="149"/>
      <c r="C272" s="149"/>
      <c r="D272" s="149"/>
      <c r="E272" s="7"/>
      <c r="F272" s="7"/>
    </row>
    <row r="273" spans="1:6" ht="15" hidden="1" customHeight="1" x14ac:dyDescent="0.25">
      <c r="A273" s="190"/>
      <c r="B273" s="149"/>
      <c r="C273" s="149"/>
      <c r="D273" s="149"/>
      <c r="E273" s="7"/>
      <c r="F273" s="7"/>
    </row>
    <row r="274" spans="1:6" ht="15" hidden="1" customHeight="1" x14ac:dyDescent="0.25">
      <c r="A274" s="190"/>
      <c r="B274" s="149"/>
      <c r="C274" s="149"/>
      <c r="D274" s="149"/>
      <c r="E274" s="7"/>
      <c r="F274" s="7"/>
    </row>
    <row r="275" spans="1:6" ht="15" hidden="1" customHeight="1" x14ac:dyDescent="0.25">
      <c r="A275" s="190"/>
      <c r="B275" s="149"/>
      <c r="C275" s="149"/>
      <c r="D275" s="149"/>
      <c r="E275" s="7"/>
      <c r="F275" s="7"/>
    </row>
    <row r="276" spans="1:6" ht="15" hidden="1" customHeight="1" x14ac:dyDescent="0.25">
      <c r="A276" s="190"/>
      <c r="B276" s="149"/>
      <c r="C276" s="149"/>
      <c r="D276" s="149"/>
      <c r="E276" s="7"/>
      <c r="F276" s="7"/>
    </row>
    <row r="277" spans="1:6" ht="15" hidden="1" customHeight="1" x14ac:dyDescent="0.25">
      <c r="A277" s="190"/>
      <c r="B277" s="149"/>
      <c r="C277" s="149"/>
      <c r="D277" s="149"/>
      <c r="E277" s="7"/>
      <c r="F277" s="7"/>
    </row>
    <row r="278" spans="1:6" ht="15" hidden="1" customHeight="1" x14ac:dyDescent="0.25">
      <c r="A278" s="190"/>
      <c r="B278" s="149"/>
      <c r="C278" s="149"/>
      <c r="D278" s="149"/>
      <c r="E278" s="7"/>
      <c r="F278" s="7"/>
    </row>
    <row r="279" spans="1:6" ht="15" hidden="1" customHeight="1" x14ac:dyDescent="0.25">
      <c r="A279" s="190"/>
      <c r="B279" s="149"/>
      <c r="C279" s="149"/>
      <c r="D279" s="149"/>
      <c r="E279" s="7"/>
      <c r="F279" s="7"/>
    </row>
    <row r="280" spans="1:6" ht="15" hidden="1" customHeight="1" x14ac:dyDescent="0.25">
      <c r="A280" s="190"/>
      <c r="B280" s="149"/>
      <c r="C280" s="149"/>
      <c r="D280" s="149"/>
      <c r="E280" s="7"/>
      <c r="F280" s="7"/>
    </row>
    <row r="281" spans="1:6" x14ac:dyDescent="0.25">
      <c r="A281" s="190"/>
      <c r="B281" s="149"/>
      <c r="C281" s="149"/>
      <c r="D281" s="158"/>
      <c r="E281" s="7"/>
      <c r="F281" s="7"/>
    </row>
    <row r="282" spans="1:6" x14ac:dyDescent="0.25">
      <c r="A282" s="190"/>
    </row>
    <row r="283" spans="1:6" hidden="1" x14ac:dyDescent="0.25"/>
  </sheetData>
  <sheetProtection sheet="1" objects="1" scenarios="1"/>
  <mergeCells count="21">
    <mergeCell ref="B54:F54"/>
    <mergeCell ref="A1:F1"/>
    <mergeCell ref="A2:A282"/>
    <mergeCell ref="B2:F2"/>
    <mergeCell ref="B3:F3"/>
    <mergeCell ref="C9:F9"/>
    <mergeCell ref="B11:F11"/>
    <mergeCell ref="B17:F17"/>
    <mergeCell ref="B18:F18"/>
    <mergeCell ref="B23:F23"/>
    <mergeCell ref="B28:F28"/>
    <mergeCell ref="B29:F29"/>
    <mergeCell ref="B40:F40"/>
    <mergeCell ref="B41:F41"/>
    <mergeCell ref="B46:F46"/>
    <mergeCell ref="B53:F53"/>
    <mergeCell ref="B68:F68"/>
    <mergeCell ref="B69:F69"/>
    <mergeCell ref="B74:F74"/>
    <mergeCell ref="B81:F81"/>
    <mergeCell ref="B82:F82"/>
  </mergeCells>
  <conditionalFormatting sqref="B2:F2 B28:F32 B37:D37 F36:F37 C58:F58 D59:F59 B72:F79 C36 B69:B71 B58:B67 C60:F67 B16:F16 B38:F43 B34:F35 C33:F33 B45:F57 C44:F44">
    <cfRule type="expression" dxfId="161" priority="49">
      <formula>$B$2="INTRODUCTION"</formula>
    </cfRule>
  </conditionalFormatting>
  <conditionalFormatting sqref="B2:F2 B28:F28 B40:F40 B53:F53 B74:F74">
    <cfRule type="expression" dxfId="160" priority="48">
      <formula>$B$2="INTRODUCTION"</formula>
    </cfRule>
  </conditionalFormatting>
  <conditionalFormatting sqref="C77:C79 E72 E51 E38">
    <cfRule type="expression" dxfId="159" priority="47">
      <formula>$B$2="INTRODUCTION"</formula>
    </cfRule>
  </conditionalFormatting>
  <conditionalFormatting sqref="E31 E43">
    <cfRule type="expression" dxfId="158" priority="46">
      <formula>$B$2="INTRODUCTION"</formula>
    </cfRule>
  </conditionalFormatting>
  <conditionalFormatting sqref="A1:F1">
    <cfRule type="expression" dxfId="157" priority="45">
      <formula>$B$2="INTRODUCTION"</formula>
    </cfRule>
  </conditionalFormatting>
  <conditionalFormatting sqref="B17:F22 B27:F27 B23:B26">
    <cfRule type="expression" dxfId="156" priority="43">
      <formula>$B$2="INTRODUCTION"</formula>
    </cfRule>
  </conditionalFormatting>
  <conditionalFormatting sqref="B17:F17">
    <cfRule type="expression" dxfId="155" priority="42">
      <formula>$B$2="INTRODUCTION"</formula>
    </cfRule>
  </conditionalFormatting>
  <conditionalFormatting sqref="B68:F68">
    <cfRule type="expression" dxfId="154" priority="41">
      <formula>$B$2="INTRODUCTION"</formula>
    </cfRule>
  </conditionalFormatting>
  <conditionalFormatting sqref="B68:F68">
    <cfRule type="expression" dxfId="153" priority="40">
      <formula>$B$2="INTRODUCTION"</formula>
    </cfRule>
  </conditionalFormatting>
  <conditionalFormatting sqref="E70">
    <cfRule type="expression" dxfId="152" priority="39">
      <formula>$B$2="INTRODUCTION"</formula>
    </cfRule>
  </conditionalFormatting>
  <conditionalFormatting sqref="E70">
    <cfRule type="expression" dxfId="151" priority="38">
      <formula>$B$2="INTRODUCTION"</formula>
    </cfRule>
  </conditionalFormatting>
  <conditionalFormatting sqref="C24">
    <cfRule type="expression" dxfId="150" priority="37">
      <formula>$B$2="INTRODUCTION"</formula>
    </cfRule>
  </conditionalFormatting>
  <conditionalFormatting sqref="C24">
    <cfRule type="expression" dxfId="149" priority="36">
      <formula>$B$2="INTRODUCTION"</formula>
    </cfRule>
  </conditionalFormatting>
  <conditionalFormatting sqref="C26">
    <cfRule type="expression" dxfId="148" priority="35">
      <formula>$B$2="INTRODUCTION"</formula>
    </cfRule>
  </conditionalFormatting>
  <conditionalFormatting sqref="C26">
    <cfRule type="expression" dxfId="147" priority="34">
      <formula>$B$2="INTRODUCTION"</formula>
    </cfRule>
  </conditionalFormatting>
  <conditionalFormatting sqref="C59">
    <cfRule type="expression" dxfId="146" priority="31">
      <formula>$B$2="INTRODUCTION"</formula>
    </cfRule>
  </conditionalFormatting>
  <conditionalFormatting sqref="D24:D26">
    <cfRule type="expression" dxfId="145" priority="33">
      <formula>$B$2="INTRODUCTION"</formula>
    </cfRule>
  </conditionalFormatting>
  <conditionalFormatting sqref="C25">
    <cfRule type="expression" dxfId="144" priority="32">
      <formula>$B$2="INTRODUCTION"</formula>
    </cfRule>
  </conditionalFormatting>
  <conditionalFormatting sqref="D70">
    <cfRule type="expression" dxfId="143" priority="30">
      <formula>$B$2="INTRODUCTION"</formula>
    </cfRule>
  </conditionalFormatting>
  <conditionalFormatting sqref="B81:F81">
    <cfRule type="expression" dxfId="142" priority="29">
      <formula>$B$2="INTRODUCTION"</formula>
    </cfRule>
  </conditionalFormatting>
  <conditionalFormatting sqref="B81:F81">
    <cfRule type="expression" dxfId="141" priority="28">
      <formula>$B$2="INTRODUCTION"</formula>
    </cfRule>
  </conditionalFormatting>
  <conditionalFormatting sqref="C84:C87">
    <cfRule type="expression" dxfId="140" priority="27">
      <formula>$B$2="INTRODUCTION"</formula>
    </cfRule>
  </conditionalFormatting>
  <conditionalFormatting sqref="C84:C87">
    <cfRule type="expression" dxfId="139" priority="26">
      <formula>$B$2="INTRODUCTION"</formula>
    </cfRule>
  </conditionalFormatting>
  <conditionalFormatting sqref="E84:E87">
    <cfRule type="expression" dxfId="138" priority="25">
      <formula>$B$2="INTRODUCTION"</formula>
    </cfRule>
  </conditionalFormatting>
  <conditionalFormatting sqref="E84:E87">
    <cfRule type="expression" dxfId="137" priority="24">
      <formula>$B$2="INTRODUCTION"</formula>
    </cfRule>
  </conditionalFormatting>
  <conditionalFormatting sqref="B36">
    <cfRule type="expression" dxfId="136" priority="23">
      <formula>$B$2="INTRODUCTION"</formula>
    </cfRule>
  </conditionalFormatting>
  <conditionalFormatting sqref="B82">
    <cfRule type="expression" dxfId="135" priority="22">
      <formula>$B$2="INTRODUCTION"</formula>
    </cfRule>
  </conditionalFormatting>
  <conditionalFormatting sqref="B84:B87">
    <cfRule type="expression" dxfId="134" priority="21">
      <formula>$B$2="INTRODUCTION"</formula>
    </cfRule>
  </conditionalFormatting>
  <conditionalFormatting sqref="B90:B91">
    <cfRule type="expression" dxfId="133" priority="20">
      <formula>$B$2="INTRODUCTION"</formula>
    </cfRule>
  </conditionalFormatting>
  <conditionalFormatting sqref="B93">
    <cfRule type="expression" dxfId="132" priority="19">
      <formula>$B$2="INTRODUCTION"</formula>
    </cfRule>
  </conditionalFormatting>
  <conditionalFormatting sqref="D84:D87">
    <cfRule type="expression" dxfId="131" priority="18">
      <formula>$B$2="INTRODUCTION"</formula>
    </cfRule>
  </conditionalFormatting>
  <conditionalFormatting sqref="F84:F87">
    <cfRule type="expression" dxfId="130" priority="17">
      <formula>$B$2="INTRODUCTION"</formula>
    </cfRule>
  </conditionalFormatting>
  <conditionalFormatting sqref="B92 B89 D90:D91 D93">
    <cfRule type="expression" dxfId="129" priority="16">
      <formula>$B$2="INTRODUCTION"</formula>
    </cfRule>
  </conditionalFormatting>
  <conditionalFormatting sqref="D90">
    <cfRule type="expression" dxfId="128" priority="14">
      <formula>D90="No - please revisit"</formula>
    </cfRule>
    <cfRule type="expression" dxfId="127" priority="15">
      <formula>D90="Yes"</formula>
    </cfRule>
  </conditionalFormatting>
  <conditionalFormatting sqref="D91">
    <cfRule type="expression" dxfId="126" priority="12">
      <formula>D91="No - please revisit"</formula>
    </cfRule>
    <cfRule type="expression" dxfId="125" priority="13">
      <formula>D91="Yes"</formula>
    </cfRule>
  </conditionalFormatting>
  <conditionalFormatting sqref="D93">
    <cfRule type="expression" dxfId="124" priority="10">
      <formula>D93="No - please revisit"</formula>
    </cfRule>
    <cfRule type="expression" dxfId="123" priority="11">
      <formula>D93="Yes"</formula>
    </cfRule>
  </conditionalFormatting>
  <conditionalFormatting sqref="B3:F15">
    <cfRule type="expression" dxfId="122" priority="9">
      <formula>$B$2="INTRODUCTION"</formula>
    </cfRule>
  </conditionalFormatting>
  <conditionalFormatting sqref="B33">
    <cfRule type="expression" dxfId="121" priority="2">
      <formula>$B$2="INTRODUCTION"</formula>
    </cfRule>
  </conditionalFormatting>
  <conditionalFormatting sqref="B33">
    <cfRule type="expression" dxfId="120" priority="1">
      <formula>$B$2="INTRODUCTION"</formula>
    </cfRule>
  </conditionalFormatting>
  <conditionalFormatting sqref="B44">
    <cfRule type="expression" dxfId="119" priority="4">
      <formula>$B$2="INTRODUCTION"</formula>
    </cfRule>
  </conditionalFormatting>
  <conditionalFormatting sqref="B44">
    <cfRule type="expression" dxfId="118" priority="3">
      <formula>$B$2="INTRODUCTION"</formula>
    </cfRule>
  </conditionalFormatting>
  <hyperlinks>
    <hyperlink ref="B33" location="Resources!B59" display="Link to Table 6.5.3.1.1B"/>
    <hyperlink ref="B44" location="Resources!B84" display="Link to Table 10.8"/>
  </hyperlink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83"/>
  <sheetViews>
    <sheetView zoomScaleNormal="100" workbookViewId="0">
      <selection activeCell="D25" sqref="D25"/>
    </sheetView>
  </sheetViews>
  <sheetFormatPr defaultColWidth="0" defaultRowHeight="15" zeroHeight="1" x14ac:dyDescent="0.25"/>
  <cols>
    <col min="1" max="1" width="6.5703125" style="2" customWidth="1"/>
    <col min="2" max="2" width="24.140625" customWidth="1"/>
    <col min="3" max="3" width="13.85546875" customWidth="1"/>
    <col min="4" max="4" width="24.85546875" customWidth="1"/>
    <col min="5" max="5" width="14" customWidth="1"/>
    <col min="6" max="6" width="6.85546875" customWidth="1"/>
    <col min="7" max="8" width="9.140625" hidden="1" customWidth="1"/>
    <col min="9" max="9" width="22.28515625" hidden="1" customWidth="1"/>
    <col min="10" max="16384" width="9.140625" hidden="1"/>
  </cols>
  <sheetData>
    <row r="1" spans="1:6" s="81" customFormat="1" ht="21" customHeight="1" x14ac:dyDescent="0.3">
      <c r="A1" s="203" t="s">
        <v>131</v>
      </c>
      <c r="B1" s="203"/>
      <c r="C1" s="203"/>
      <c r="D1" s="203"/>
      <c r="E1" s="203"/>
      <c r="F1" s="203"/>
    </row>
    <row r="2" spans="1:6" ht="15" customHeight="1" x14ac:dyDescent="0.25">
      <c r="A2" s="190" t="s">
        <v>110</v>
      </c>
      <c r="B2" s="208" t="e">
        <f>IF(Intro!B29="Please continue to tab 3) Systems 5-8", "INTRODUCTION", Intro!B29)</f>
        <v>#N/A</v>
      </c>
      <c r="C2" s="208"/>
      <c r="D2" s="208"/>
      <c r="E2" s="208"/>
      <c r="F2" s="208"/>
    </row>
    <row r="3" spans="1:6" ht="30" customHeight="1" x14ac:dyDescent="0.25">
      <c r="A3" s="190"/>
      <c r="B3" s="207" t="s">
        <v>132</v>
      </c>
      <c r="C3" s="207"/>
      <c r="D3" s="207"/>
      <c r="E3" s="207"/>
      <c r="F3" s="207"/>
    </row>
    <row r="4" spans="1:6" ht="15" customHeight="1" x14ac:dyDescent="0.25">
      <c r="A4" s="190"/>
      <c r="B4" s="142"/>
      <c r="C4" s="142"/>
      <c r="D4" s="142"/>
      <c r="E4" s="142"/>
      <c r="F4" s="142"/>
    </row>
    <row r="5" spans="1:6" ht="15.75" x14ac:dyDescent="0.3">
      <c r="A5" s="190"/>
      <c r="B5" s="112" t="s">
        <v>150</v>
      </c>
      <c r="C5" s="112" t="str">
        <f>"(1)"</f>
        <v>(1)</v>
      </c>
      <c r="D5" s="112" t="s">
        <v>133</v>
      </c>
      <c r="E5" s="113"/>
      <c r="F5" s="113"/>
    </row>
    <row r="6" spans="1:6" x14ac:dyDescent="0.25">
      <c r="A6" s="190"/>
      <c r="B6" s="114" t="s">
        <v>101</v>
      </c>
      <c r="C6" s="112"/>
      <c r="D6" s="113"/>
      <c r="E6" s="113"/>
      <c r="F6" s="113"/>
    </row>
    <row r="7" spans="1:6" ht="15.75" x14ac:dyDescent="0.3">
      <c r="A7" s="190"/>
      <c r="B7" s="114" t="s">
        <v>151</v>
      </c>
      <c r="C7" s="113" t="s">
        <v>3</v>
      </c>
      <c r="D7" s="113"/>
      <c r="E7" s="113"/>
      <c r="F7" s="113"/>
    </row>
    <row r="8" spans="1:6" x14ac:dyDescent="0.25">
      <c r="A8" s="190"/>
      <c r="B8" s="114" t="s">
        <v>54</v>
      </c>
      <c r="C8" s="113" t="s">
        <v>55</v>
      </c>
      <c r="D8" s="113"/>
      <c r="E8" s="113"/>
      <c r="F8" s="113"/>
    </row>
    <row r="9" spans="1:6" ht="32.25" customHeight="1" x14ac:dyDescent="0.25">
      <c r="A9" s="190"/>
      <c r="B9" s="115" t="s">
        <v>152</v>
      </c>
      <c r="C9" s="207" t="s">
        <v>56</v>
      </c>
      <c r="D9" s="207"/>
      <c r="E9" s="207"/>
      <c r="F9" s="207"/>
    </row>
    <row r="10" spans="1:6" ht="15" customHeight="1" x14ac:dyDescent="0.25">
      <c r="A10" s="190"/>
      <c r="B10" s="115"/>
      <c r="C10" s="142"/>
      <c r="D10" s="142"/>
      <c r="E10" s="142"/>
      <c r="F10" s="142"/>
    </row>
    <row r="11" spans="1:6" x14ac:dyDescent="0.25">
      <c r="A11" s="190"/>
      <c r="B11" s="210" t="s">
        <v>121</v>
      </c>
      <c r="C11" s="210"/>
      <c r="D11" s="210"/>
      <c r="E11" s="210"/>
      <c r="F11" s="210"/>
    </row>
    <row r="12" spans="1:6" x14ac:dyDescent="0.25">
      <c r="A12" s="190"/>
      <c r="B12" s="143"/>
      <c r="C12" s="143"/>
      <c r="D12" s="143"/>
      <c r="E12" s="143"/>
      <c r="F12" s="143"/>
    </row>
    <row r="13" spans="1:6" ht="15.75" x14ac:dyDescent="0.3">
      <c r="A13" s="190"/>
      <c r="B13" s="113" t="s">
        <v>153</v>
      </c>
      <c r="C13" s="112" t="str">
        <f>"(2)"</f>
        <v>(2)</v>
      </c>
      <c r="D13" s="112" t="s">
        <v>83</v>
      </c>
      <c r="E13" s="113"/>
      <c r="F13" s="113"/>
    </row>
    <row r="14" spans="1:6" ht="15.75" x14ac:dyDescent="0.3">
      <c r="A14" s="190"/>
      <c r="B14" s="114" t="s">
        <v>154</v>
      </c>
      <c r="C14" s="113" t="s">
        <v>53</v>
      </c>
      <c r="D14" s="113"/>
      <c r="E14" s="113"/>
      <c r="F14" s="113"/>
    </row>
    <row r="15" spans="1:6" x14ac:dyDescent="0.25">
      <c r="A15" s="190"/>
      <c r="B15" s="114" t="s">
        <v>57</v>
      </c>
      <c r="C15" s="113" t="s">
        <v>58</v>
      </c>
      <c r="D15" s="113"/>
      <c r="E15" s="113"/>
      <c r="F15" s="113"/>
    </row>
    <row r="16" spans="1:6" x14ac:dyDescent="0.25">
      <c r="A16" s="190"/>
      <c r="B16" s="90"/>
      <c r="C16" s="90"/>
      <c r="D16" s="90"/>
      <c r="E16" s="90"/>
      <c r="F16" s="90"/>
    </row>
    <row r="17" spans="1:6" x14ac:dyDescent="0.25">
      <c r="A17" s="190"/>
      <c r="B17" s="206" t="s">
        <v>164</v>
      </c>
      <c r="C17" s="206"/>
      <c r="D17" s="206"/>
      <c r="E17" s="206"/>
      <c r="F17" s="206"/>
    </row>
    <row r="18" spans="1:6" ht="56.25" customHeight="1" x14ac:dyDescent="0.25">
      <c r="A18" s="190"/>
      <c r="B18" s="207" t="s">
        <v>165</v>
      </c>
      <c r="C18" s="207"/>
      <c r="D18" s="207"/>
      <c r="E18" s="207"/>
      <c r="F18" s="207"/>
    </row>
    <row r="19" spans="1:6" ht="15" customHeight="1" x14ac:dyDescent="0.25">
      <c r="A19" s="190"/>
      <c r="B19" s="142"/>
      <c r="C19" s="142">
        <v>0.7</v>
      </c>
      <c r="D19" s="142" t="s">
        <v>4</v>
      </c>
      <c r="E19" s="142"/>
      <c r="F19" s="142"/>
    </row>
    <row r="20" spans="1:6" ht="15" customHeight="1" x14ac:dyDescent="0.25">
      <c r="A20" s="190"/>
      <c r="B20" s="142"/>
      <c r="C20" s="142">
        <v>75</v>
      </c>
      <c r="D20" s="143" t="s">
        <v>130</v>
      </c>
      <c r="E20" s="142"/>
      <c r="F20" s="142"/>
    </row>
    <row r="21" spans="1:6" ht="15" customHeight="1" x14ac:dyDescent="0.25">
      <c r="A21" s="190"/>
      <c r="B21" s="142"/>
      <c r="C21" s="142">
        <v>0.9</v>
      </c>
      <c r="D21" s="142" t="s">
        <v>6</v>
      </c>
      <c r="E21" s="142"/>
      <c r="F21" s="142"/>
    </row>
    <row r="22" spans="1:6" ht="15" customHeight="1" x14ac:dyDescent="0.25">
      <c r="A22" s="190"/>
      <c r="B22" s="142"/>
      <c r="C22" s="142"/>
      <c r="D22" s="142"/>
      <c r="E22" s="142"/>
      <c r="F22" s="142"/>
    </row>
    <row r="23" spans="1:6" ht="33" customHeight="1" x14ac:dyDescent="0.25">
      <c r="A23" s="190"/>
      <c r="B23" s="207" t="s">
        <v>167</v>
      </c>
      <c r="C23" s="207"/>
      <c r="D23" s="207"/>
      <c r="E23" s="207"/>
      <c r="F23" s="207"/>
    </row>
    <row r="24" spans="1:6" ht="15" customHeight="1" x14ac:dyDescent="0.25">
      <c r="A24" s="190"/>
      <c r="B24" s="142"/>
      <c r="C24" s="184"/>
      <c r="D24" s="142" t="s">
        <v>8</v>
      </c>
      <c r="E24" s="146">
        <f>IF(LEN(C24)&gt;1,C24,C26/0.000472)</f>
        <v>0</v>
      </c>
      <c r="F24" s="142"/>
    </row>
    <row r="25" spans="1:6" ht="15" customHeight="1" x14ac:dyDescent="0.25">
      <c r="A25" s="190"/>
      <c r="B25" s="142"/>
      <c r="C25" s="152" t="s">
        <v>2</v>
      </c>
      <c r="D25" s="142"/>
      <c r="E25" s="142"/>
      <c r="F25" s="142"/>
    </row>
    <row r="26" spans="1:6" ht="15" customHeight="1" x14ac:dyDescent="0.25">
      <c r="A26" s="190"/>
      <c r="B26" s="142"/>
      <c r="C26" s="184"/>
      <c r="D26" s="142" t="s">
        <v>166</v>
      </c>
      <c r="E26" s="142"/>
      <c r="F26" s="142"/>
    </row>
    <row r="27" spans="1:6" x14ac:dyDescent="0.25">
      <c r="A27" s="190"/>
      <c r="B27" s="116"/>
      <c r="C27" s="144"/>
      <c r="D27" s="144"/>
      <c r="E27" s="116"/>
      <c r="F27" s="116"/>
    </row>
    <row r="28" spans="1:6" x14ac:dyDescent="0.25">
      <c r="A28" s="190"/>
      <c r="B28" s="206" t="s">
        <v>173</v>
      </c>
      <c r="C28" s="206"/>
      <c r="D28" s="206"/>
      <c r="E28" s="206"/>
      <c r="F28" s="206"/>
    </row>
    <row r="29" spans="1:6" ht="41.25" customHeight="1" x14ac:dyDescent="0.25">
      <c r="A29" s="190"/>
      <c r="B29" s="207" t="s">
        <v>168</v>
      </c>
      <c r="C29" s="207"/>
      <c r="D29" s="207"/>
      <c r="E29" s="207"/>
      <c r="F29" s="207"/>
    </row>
    <row r="30" spans="1:6" x14ac:dyDescent="0.25">
      <c r="A30" s="190"/>
      <c r="B30" s="116"/>
      <c r="C30" s="116"/>
      <c r="D30" s="116"/>
      <c r="E30" s="116"/>
      <c r="F30" s="116"/>
    </row>
    <row r="31" spans="1:6" x14ac:dyDescent="0.25">
      <c r="A31" s="190"/>
      <c r="B31" s="113" t="s">
        <v>155</v>
      </c>
      <c r="C31" s="113"/>
      <c r="D31" s="117" t="s">
        <v>57</v>
      </c>
      <c r="E31" s="184"/>
      <c r="F31" s="113" t="s">
        <v>82</v>
      </c>
    </row>
    <row r="32" spans="1:6" x14ac:dyDescent="0.25">
      <c r="A32" s="190"/>
      <c r="B32" s="113"/>
      <c r="C32" s="113"/>
      <c r="D32" s="116"/>
      <c r="E32" s="116"/>
      <c r="F32" s="116"/>
    </row>
    <row r="33" spans="1:6" x14ac:dyDescent="0.25">
      <c r="A33" s="190"/>
      <c r="B33" s="119" t="s">
        <v>127</v>
      </c>
      <c r="C33" s="113"/>
      <c r="D33" s="116"/>
      <c r="E33" s="116"/>
      <c r="F33" s="113"/>
    </row>
    <row r="34" spans="1:6" x14ac:dyDescent="0.25">
      <c r="A34" s="190"/>
      <c r="B34" s="116"/>
      <c r="C34" s="113"/>
      <c r="D34" s="113"/>
      <c r="E34" s="113"/>
      <c r="F34" s="113"/>
    </row>
    <row r="35" spans="1:6" ht="15.75" x14ac:dyDescent="0.3">
      <c r="A35" s="190"/>
      <c r="B35" s="112" t="s">
        <v>192</v>
      </c>
      <c r="C35" s="112" t="str">
        <f>"(2)"</f>
        <v>(2)</v>
      </c>
      <c r="D35" s="113"/>
      <c r="E35" s="113"/>
      <c r="F35" s="113"/>
    </row>
    <row r="36" spans="1:6" x14ac:dyDescent="0.25">
      <c r="A36" s="190"/>
      <c r="B36" s="156" t="s">
        <v>194</v>
      </c>
      <c r="C36" s="113"/>
      <c r="F36" s="113"/>
    </row>
    <row r="37" spans="1:6" x14ac:dyDescent="0.25">
      <c r="A37" s="190"/>
      <c r="B37" s="113" t="s">
        <v>193</v>
      </c>
      <c r="C37" s="113"/>
      <c r="D37" s="120"/>
      <c r="E37" s="113"/>
      <c r="F37" s="113"/>
    </row>
    <row r="38" spans="1:6" x14ac:dyDescent="0.25">
      <c r="A38" s="190"/>
      <c r="B38" s="112" t="str">
        <f>CONCATENATE("Bhp= ",ROUNDUP(E24,),"*0.0013+A")</f>
        <v>Bhp= 0*0.0013+A</v>
      </c>
      <c r="C38" s="116"/>
      <c r="D38" s="120" t="s">
        <v>54</v>
      </c>
      <c r="E38" s="125">
        <f>E24*0.0013+E31</f>
        <v>0</v>
      </c>
      <c r="F38" s="116"/>
    </row>
    <row r="39" spans="1:6" x14ac:dyDescent="0.25">
      <c r="A39" s="190"/>
      <c r="B39" s="116"/>
      <c r="C39" s="116"/>
      <c r="D39" s="116"/>
      <c r="E39" s="116"/>
      <c r="F39" s="116"/>
    </row>
    <row r="40" spans="1:6" x14ac:dyDescent="0.25">
      <c r="A40" s="190"/>
      <c r="B40" s="206" t="s">
        <v>209</v>
      </c>
      <c r="C40" s="206"/>
      <c r="D40" s="206"/>
      <c r="E40" s="206"/>
      <c r="F40" s="206"/>
    </row>
    <row r="41" spans="1:6" ht="39" customHeight="1" x14ac:dyDescent="0.25">
      <c r="A41" s="190"/>
      <c r="B41" s="207" t="s">
        <v>172</v>
      </c>
      <c r="C41" s="207"/>
      <c r="D41" s="207"/>
      <c r="E41" s="207"/>
      <c r="F41" s="207"/>
    </row>
    <row r="42" spans="1:6" x14ac:dyDescent="0.25">
      <c r="A42" s="190"/>
      <c r="B42" s="116"/>
      <c r="C42" s="116"/>
      <c r="D42" s="116"/>
      <c r="E42" s="113"/>
      <c r="F42" s="113"/>
    </row>
    <row r="43" spans="1:6" x14ac:dyDescent="0.25">
      <c r="A43" s="190"/>
      <c r="B43" s="113"/>
      <c r="C43" s="113"/>
      <c r="D43" s="117" t="s">
        <v>156</v>
      </c>
      <c r="E43" s="187"/>
      <c r="F43" s="113"/>
    </row>
    <row r="44" spans="1:6" x14ac:dyDescent="0.25">
      <c r="A44" s="190"/>
      <c r="B44" s="119" t="s">
        <v>128</v>
      </c>
      <c r="C44" s="113"/>
      <c r="D44" s="113"/>
      <c r="E44" s="113"/>
      <c r="F44" s="113"/>
    </row>
    <row r="45" spans="1:6" x14ac:dyDescent="0.25">
      <c r="A45" s="190"/>
      <c r="B45" s="116"/>
      <c r="C45" s="113"/>
      <c r="D45" s="113"/>
      <c r="E45" s="113"/>
      <c r="F45" s="113"/>
    </row>
    <row r="46" spans="1:6" ht="30" customHeight="1" x14ac:dyDescent="0.25">
      <c r="A46" s="190"/>
      <c r="B46" s="207" t="s">
        <v>171</v>
      </c>
      <c r="C46" s="207"/>
      <c r="D46" s="207"/>
      <c r="E46" s="207"/>
      <c r="F46" s="207"/>
    </row>
    <row r="47" spans="1:6" x14ac:dyDescent="0.25">
      <c r="A47" s="190"/>
      <c r="B47" s="116"/>
      <c r="C47" s="113"/>
      <c r="D47" s="113"/>
      <c r="E47" s="113"/>
      <c r="F47" s="113"/>
    </row>
    <row r="48" spans="1:6" ht="15.75" x14ac:dyDescent="0.3">
      <c r="A48" s="190"/>
      <c r="B48" s="112" t="s">
        <v>150</v>
      </c>
      <c r="C48" s="112" t="str">
        <f>"(1)"</f>
        <v>(1)</v>
      </c>
      <c r="D48" s="113"/>
      <c r="E48" s="113"/>
      <c r="F48" s="113"/>
    </row>
    <row r="49" spans="1:6" x14ac:dyDescent="0.25">
      <c r="A49" s="190"/>
      <c r="B49" s="156" t="s">
        <v>194</v>
      </c>
      <c r="C49" s="112"/>
      <c r="D49" s="113"/>
      <c r="E49" s="113"/>
      <c r="F49" s="113"/>
    </row>
    <row r="50" spans="1:6" x14ac:dyDescent="0.25">
      <c r="A50" s="190"/>
      <c r="B50" s="113" t="s">
        <v>122</v>
      </c>
      <c r="C50" s="113"/>
      <c r="D50" s="113"/>
      <c r="E50" s="113"/>
      <c r="F50" s="113"/>
    </row>
    <row r="51" spans="1:6" x14ac:dyDescent="0.25">
      <c r="A51" s="190"/>
      <c r="B51" s="112" t="str">
        <f>CONCATENATE("Pfan=(",ROUNDUP(E38,2),"*746) / ", E43*100,"% =")</f>
        <v>Pfan=(0*746) / 0% =</v>
      </c>
      <c r="C51" s="113"/>
      <c r="D51" s="120" t="s">
        <v>169</v>
      </c>
      <c r="E51" s="145" t="e">
        <f>(E38*746)/E43</f>
        <v>#DIV/0!</v>
      </c>
      <c r="F51" s="113" t="s">
        <v>170</v>
      </c>
    </row>
    <row r="52" spans="1:6" x14ac:dyDescent="0.25">
      <c r="A52" s="190"/>
      <c r="B52" s="116"/>
      <c r="C52" s="116"/>
      <c r="D52" s="116"/>
      <c r="E52" s="116"/>
      <c r="F52" s="116"/>
    </row>
    <row r="53" spans="1:6" x14ac:dyDescent="0.25">
      <c r="A53" s="190"/>
      <c r="B53" s="206" t="s">
        <v>174</v>
      </c>
      <c r="C53" s="206"/>
      <c r="D53" s="206"/>
      <c r="E53" s="206"/>
      <c r="F53" s="206"/>
    </row>
    <row r="54" spans="1:6" ht="29.25" customHeight="1" x14ac:dyDescent="0.25">
      <c r="A54" s="190"/>
      <c r="B54" s="207" t="s">
        <v>175</v>
      </c>
      <c r="C54" s="207"/>
      <c r="D54" s="207"/>
      <c r="E54" s="207"/>
      <c r="F54" s="207"/>
    </row>
    <row r="55" spans="1:6" x14ac:dyDescent="0.25">
      <c r="A55" s="190"/>
      <c r="B55" s="116"/>
      <c r="C55" s="113"/>
      <c r="D55" s="113"/>
      <c r="E55" s="113"/>
      <c r="F55" s="113"/>
    </row>
    <row r="56" spans="1:6" ht="15.75" x14ac:dyDescent="0.3">
      <c r="A56" s="190"/>
      <c r="B56" s="112" t="s">
        <v>180</v>
      </c>
      <c r="C56" s="116"/>
      <c r="D56" s="112" t="str">
        <f>"(3)"</f>
        <v>(3)</v>
      </c>
      <c r="E56" s="113"/>
      <c r="F56" s="113"/>
    </row>
    <row r="57" spans="1:6" x14ac:dyDescent="0.25">
      <c r="A57" s="190"/>
      <c r="B57" s="113"/>
      <c r="C57" s="113"/>
      <c r="D57" s="113"/>
      <c r="E57" s="113"/>
      <c r="F57" s="113"/>
    </row>
    <row r="58" spans="1:6" x14ac:dyDescent="0.25">
      <c r="A58" s="190"/>
      <c r="B58" s="122" t="s">
        <v>101</v>
      </c>
      <c r="C58" s="112"/>
      <c r="D58" s="113"/>
      <c r="E58" s="113"/>
      <c r="F58" s="113"/>
    </row>
    <row r="59" spans="1:6" ht="15.75" x14ac:dyDescent="0.3">
      <c r="A59" s="190"/>
      <c r="B59" s="147" t="s">
        <v>179</v>
      </c>
      <c r="C59" s="154" t="s">
        <v>176</v>
      </c>
      <c r="D59" s="113"/>
      <c r="E59" s="113"/>
      <c r="F59" s="113"/>
    </row>
    <row r="60" spans="1:6" x14ac:dyDescent="0.25">
      <c r="A60" s="190"/>
      <c r="B60" s="147" t="s">
        <v>177</v>
      </c>
      <c r="C60" s="123" t="s">
        <v>178</v>
      </c>
      <c r="D60" s="113"/>
      <c r="E60" s="113"/>
      <c r="F60" s="113"/>
    </row>
    <row r="61" spans="1:6" x14ac:dyDescent="0.25">
      <c r="A61" s="190"/>
      <c r="B61" s="124"/>
      <c r="C61" s="123"/>
      <c r="D61" s="113"/>
      <c r="E61" s="113"/>
      <c r="F61" s="113"/>
    </row>
    <row r="62" spans="1:6" x14ac:dyDescent="0.25">
      <c r="A62" s="190"/>
      <c r="B62" s="155" t="e">
        <f>CONCATENATE("ηtot=(.000472 * ", E24, " * ΔPa) / ", ROUNDUP(E51,))</f>
        <v>#DIV/0!</v>
      </c>
      <c r="C62" s="113"/>
      <c r="D62" s="113"/>
      <c r="E62" s="113"/>
      <c r="F62" s="113"/>
    </row>
    <row r="63" spans="1:6" x14ac:dyDescent="0.25">
      <c r="A63" s="190"/>
      <c r="B63" s="156" t="s">
        <v>194</v>
      </c>
      <c r="C63" s="113"/>
      <c r="D63" s="113"/>
      <c r="E63" s="113"/>
      <c r="F63" s="113"/>
    </row>
    <row r="64" spans="1:6" x14ac:dyDescent="0.25">
      <c r="A64" s="190"/>
      <c r="B64" s="112" t="e">
        <f>CONCATENATE(ROUNDUP(E51,),"ηtot=", (0.000472 * E24), "ΔPa")</f>
        <v>#DIV/0!</v>
      </c>
      <c r="C64" s="113"/>
      <c r="D64" s="113"/>
      <c r="E64" s="113"/>
      <c r="F64" s="113"/>
    </row>
    <row r="65" spans="1:6" x14ac:dyDescent="0.25">
      <c r="A65" s="190"/>
      <c r="B65" s="156" t="s">
        <v>194</v>
      </c>
      <c r="C65" s="113"/>
      <c r="D65" s="113"/>
      <c r="E65" s="113"/>
      <c r="F65" s="113"/>
    </row>
    <row r="66" spans="1:6" x14ac:dyDescent="0.25">
      <c r="A66" s="190"/>
      <c r="B66" s="112" t="e">
        <f>CONCATENATE("ΔPa / ηtot = ", ROUNDUP(E51/(0.000472 * E24), ))</f>
        <v>#DIV/0!</v>
      </c>
      <c r="C66" s="113"/>
      <c r="D66" s="113"/>
      <c r="E66" s="113"/>
      <c r="F66" s="113"/>
    </row>
    <row r="67" spans="1:6" x14ac:dyDescent="0.25">
      <c r="A67" s="190"/>
      <c r="B67" s="113"/>
      <c r="C67" s="113"/>
      <c r="D67" s="113"/>
      <c r="E67" s="113"/>
      <c r="F67" s="113"/>
    </row>
    <row r="68" spans="1:6" x14ac:dyDescent="0.25">
      <c r="A68" s="190"/>
      <c r="B68" s="206" t="s">
        <v>181</v>
      </c>
      <c r="C68" s="206"/>
      <c r="D68" s="206"/>
      <c r="E68" s="206"/>
      <c r="F68" s="206"/>
    </row>
    <row r="69" spans="1:6" ht="51.75" customHeight="1" x14ac:dyDescent="0.25">
      <c r="A69" s="190"/>
      <c r="B69" s="207" t="s">
        <v>244</v>
      </c>
      <c r="C69" s="207"/>
      <c r="D69" s="207"/>
      <c r="E69" s="207"/>
      <c r="F69" s="207"/>
    </row>
    <row r="70" spans="1:6" ht="15" customHeight="1" x14ac:dyDescent="0.25">
      <c r="A70" s="190"/>
      <c r="B70" s="142"/>
      <c r="C70" s="142"/>
      <c r="D70" s="114" t="s">
        <v>182</v>
      </c>
      <c r="E70" s="148">
        <v>0.7</v>
      </c>
      <c r="F70" s="142"/>
    </row>
    <row r="71" spans="1:6" ht="15" customHeight="1" x14ac:dyDescent="0.25">
      <c r="A71" s="190"/>
      <c r="B71" s="156" t="s">
        <v>194</v>
      </c>
      <c r="C71" s="142"/>
      <c r="D71" s="142"/>
      <c r="E71" s="142"/>
      <c r="F71" s="142"/>
    </row>
    <row r="72" spans="1:6" x14ac:dyDescent="0.25">
      <c r="A72" s="190"/>
      <c r="B72" s="112" t="e">
        <f>CONCATENATE("ΔPa = ", ROUNDUP(E51/(0.000472 * E24), ), " * ", E70)</f>
        <v>#DIV/0!</v>
      </c>
      <c r="C72" s="113"/>
      <c r="D72" s="113"/>
      <c r="E72" s="125" t="e">
        <f>E51/(0.000472 * E24)*E70</f>
        <v>#DIV/0!</v>
      </c>
      <c r="F72" s="121" t="s">
        <v>183</v>
      </c>
    </row>
    <row r="73" spans="1:6" x14ac:dyDescent="0.25">
      <c r="A73" s="190"/>
      <c r="B73" s="116"/>
      <c r="C73" s="116"/>
      <c r="D73" s="116"/>
      <c r="E73" s="126"/>
      <c r="F73" s="126"/>
    </row>
    <row r="74" spans="1:6" x14ac:dyDescent="0.25">
      <c r="A74" s="190"/>
      <c r="B74" s="206" t="s">
        <v>120</v>
      </c>
      <c r="C74" s="206"/>
      <c r="D74" s="206"/>
      <c r="E74" s="206"/>
      <c r="F74" s="206"/>
    </row>
    <row r="75" spans="1:6" x14ac:dyDescent="0.25">
      <c r="A75" s="190"/>
      <c r="B75" s="113"/>
      <c r="C75" s="113"/>
      <c r="D75" s="113"/>
      <c r="E75" s="113"/>
      <c r="F75" s="113"/>
    </row>
    <row r="76" spans="1:6" ht="15.75" thickBot="1" x14ac:dyDescent="0.3">
      <c r="A76" s="190"/>
      <c r="B76" s="121" t="s">
        <v>248</v>
      </c>
      <c r="C76" s="121"/>
      <c r="D76" s="121"/>
      <c r="E76" s="113"/>
      <c r="F76" s="113"/>
    </row>
    <row r="77" spans="1:6" x14ac:dyDescent="0.25">
      <c r="A77" s="190"/>
      <c r="B77" s="116"/>
      <c r="C77" s="127">
        <f>E70</f>
        <v>0.7</v>
      </c>
      <c r="D77" s="128" t="s">
        <v>4</v>
      </c>
      <c r="E77" s="129"/>
      <c r="F77" s="113"/>
    </row>
    <row r="78" spans="1:6" x14ac:dyDescent="0.25">
      <c r="A78" s="190"/>
      <c r="B78" s="116"/>
      <c r="C78" s="130" t="e">
        <f>E72</f>
        <v>#DIV/0!</v>
      </c>
      <c r="D78" s="121" t="s">
        <v>5</v>
      </c>
      <c r="E78" s="131"/>
      <c r="F78" s="113"/>
    </row>
    <row r="79" spans="1:6" ht="15.75" thickBot="1" x14ac:dyDescent="0.3">
      <c r="A79" s="190"/>
      <c r="B79" s="116"/>
      <c r="C79" s="132">
        <f>E43</f>
        <v>0</v>
      </c>
      <c r="D79" s="133" t="s">
        <v>6</v>
      </c>
      <c r="E79" s="134"/>
      <c r="F79" s="113"/>
    </row>
    <row r="80" spans="1:6" x14ac:dyDescent="0.25">
      <c r="A80" s="190"/>
      <c r="B80" s="113"/>
      <c r="C80" s="113"/>
      <c r="D80" s="113"/>
      <c r="E80" s="113"/>
      <c r="F80" s="113"/>
    </row>
    <row r="81" spans="1:7" x14ac:dyDescent="0.25">
      <c r="A81" s="190"/>
      <c r="B81" s="206" t="s">
        <v>184</v>
      </c>
      <c r="C81" s="206"/>
      <c r="D81" s="206"/>
      <c r="E81" s="206"/>
      <c r="F81" s="206"/>
    </row>
    <row r="82" spans="1:7" ht="30" customHeight="1" x14ac:dyDescent="0.25">
      <c r="A82" s="190"/>
      <c r="B82" s="207" t="s">
        <v>238</v>
      </c>
      <c r="C82" s="207"/>
      <c r="D82" s="207"/>
      <c r="E82" s="207"/>
      <c r="F82" s="207"/>
    </row>
    <row r="83" spans="1:7" ht="15" customHeight="1" x14ac:dyDescent="0.25">
      <c r="A83" s="190"/>
      <c r="B83" s="150"/>
      <c r="C83" s="150"/>
      <c r="D83" s="150"/>
      <c r="E83" s="150"/>
      <c r="F83" s="150"/>
    </row>
    <row r="84" spans="1:7" x14ac:dyDescent="0.25">
      <c r="A84" s="190"/>
      <c r="B84" s="113" t="s">
        <v>7</v>
      </c>
      <c r="C84" s="186"/>
      <c r="D84" s="121" t="s">
        <v>186</v>
      </c>
      <c r="E84" s="125">
        <f>C84</f>
        <v>0</v>
      </c>
      <c r="F84" s="121" t="s">
        <v>195</v>
      </c>
      <c r="G84" t="s">
        <v>185</v>
      </c>
    </row>
    <row r="85" spans="1:7" x14ac:dyDescent="0.25">
      <c r="A85" s="190"/>
      <c r="B85" s="113" t="s">
        <v>189</v>
      </c>
      <c r="C85" s="186"/>
      <c r="D85" s="121" t="s">
        <v>187</v>
      </c>
      <c r="E85" s="125">
        <f>C85*6894.75729</f>
        <v>0</v>
      </c>
      <c r="F85" s="121" t="s">
        <v>183</v>
      </c>
      <c r="G85">
        <v>0.47</v>
      </c>
    </row>
    <row r="86" spans="1:7" x14ac:dyDescent="0.25">
      <c r="A86" s="190"/>
      <c r="B86" s="113" t="s">
        <v>190</v>
      </c>
      <c r="C86" s="186"/>
      <c r="D86" s="121" t="s">
        <v>188</v>
      </c>
      <c r="E86" s="125">
        <f>C86</f>
        <v>0</v>
      </c>
      <c r="F86" s="121" t="s">
        <v>8</v>
      </c>
      <c r="G86">
        <v>0.37</v>
      </c>
    </row>
    <row r="87" spans="1:7" x14ac:dyDescent="0.25">
      <c r="A87" s="190"/>
      <c r="B87" s="113" t="s">
        <v>191</v>
      </c>
      <c r="C87" s="186"/>
      <c r="D87" s="121" t="s">
        <v>170</v>
      </c>
      <c r="E87" s="125">
        <f>C87</f>
        <v>0</v>
      </c>
      <c r="F87" s="121" t="s">
        <v>170</v>
      </c>
    </row>
    <row r="88" spans="1:7" x14ac:dyDescent="0.25">
      <c r="A88" s="190"/>
      <c r="D88" s="151"/>
    </row>
    <row r="89" spans="1:7" x14ac:dyDescent="0.25">
      <c r="A89" s="190"/>
      <c r="B89" s="121" t="s">
        <v>197</v>
      </c>
      <c r="C89" s="157"/>
      <c r="D89" s="153"/>
      <c r="E89" s="159" t="e">
        <f>E51/(0.000472 * E24)</f>
        <v>#DIV/0!</v>
      </c>
      <c r="F89" s="160" t="e">
        <f>E85/E84</f>
        <v>#DIV/0!</v>
      </c>
    </row>
    <row r="90" spans="1:7" x14ac:dyDescent="0.25">
      <c r="A90" s="190"/>
      <c r="B90" s="113" t="e">
        <f>CONCATENATE("Does ΔPa / ηtot = ", ROUNDUP(E51/(0.000472 * E24),),"?")</f>
        <v>#DIV/0!</v>
      </c>
      <c r="C90" s="149"/>
      <c r="D90" s="118" t="e">
        <f>IF(E89&gt;=F89, IF(((E89-F89)/E89)&lt;0.05, "Yes", "No - please revisit"), IF(F89&gt;E89, IF((((F89-E89)/F89)&lt;0.05), "Yes", "No - please revisit")))</f>
        <v>#DIV/0!</v>
      </c>
      <c r="E90" s="159"/>
      <c r="F90" s="159"/>
    </row>
    <row r="91" spans="1:7" x14ac:dyDescent="0.25">
      <c r="A91" s="190"/>
      <c r="B91" s="113" t="str">
        <f>CONCATENATE("Does (.000472CFMs * ΔPa) / Pfan =", E70*100, "% ?")</f>
        <v>Does (.000472CFMs * ΔPa) / Pfan =70% ?</v>
      </c>
      <c r="C91" s="113"/>
      <c r="D91" s="118" t="e">
        <f>IF(E91&gt;=E84, IF(((E91-E84)/E91)&lt;0.05, "Yes", "No - please revisit"), IF(E84&gt;E91, IF((((E84-E91)/E84)&lt;0.05), "Yes", "No - please revisit")))</f>
        <v>#DIV/0!</v>
      </c>
      <c r="E91" s="161" t="e">
        <f>(0.000472*E86*E85)/E87</f>
        <v>#DIV/0!</v>
      </c>
      <c r="F91" s="159"/>
    </row>
    <row r="92" spans="1:7" x14ac:dyDescent="0.25">
      <c r="A92" s="190"/>
      <c r="B92" s="121" t="s">
        <v>198</v>
      </c>
      <c r="C92" s="113"/>
      <c r="D92" s="165"/>
      <c r="E92" s="161">
        <f>(746*(0.0013+E31))/0.84</f>
        <v>1.1545238095238095</v>
      </c>
      <c r="F92" s="162" t="e">
        <f>E87/E86</f>
        <v>#DIV/0!</v>
      </c>
    </row>
    <row r="93" spans="1:7" ht="15.75" x14ac:dyDescent="0.3">
      <c r="A93" s="190"/>
      <c r="B93" s="113" t="s">
        <v>196</v>
      </c>
      <c r="C93" s="113"/>
      <c r="D93" s="118" t="e">
        <f>IF(E92&gt;=F92, IF(((E92-F92)/E92)&lt;0.05, "Yes", "No - please revisit"), IF(F92&gt;E92, IF((((F92-E92)/F92)&lt;0.05), "Yes", "No - please revisit")))</f>
        <v>#DIV/0!</v>
      </c>
    </row>
    <row r="94" spans="1:7" ht="15" hidden="1" customHeight="1" x14ac:dyDescent="0.25">
      <c r="A94" s="190"/>
      <c r="B94" s="113"/>
      <c r="C94" s="113"/>
      <c r="D94" s="113"/>
      <c r="E94" s="113"/>
      <c r="F94" s="113"/>
    </row>
    <row r="95" spans="1:7" ht="15" hidden="1" customHeight="1" x14ac:dyDescent="0.25">
      <c r="A95" s="190"/>
      <c r="B95" s="113"/>
      <c r="C95" s="113"/>
      <c r="D95" s="113"/>
      <c r="E95" s="113"/>
      <c r="F95" s="113"/>
    </row>
    <row r="96" spans="1:7" ht="15" hidden="1" customHeight="1" x14ac:dyDescent="0.25">
      <c r="A96" s="190"/>
      <c r="B96" s="113"/>
      <c r="C96" s="113"/>
      <c r="D96" s="113"/>
      <c r="E96" s="87"/>
      <c r="F96" s="87"/>
    </row>
    <row r="97" spans="1:6" ht="15" hidden="1" customHeight="1" x14ac:dyDescent="0.25">
      <c r="A97" s="190"/>
      <c r="B97" s="113"/>
      <c r="C97" s="113"/>
      <c r="D97" s="113"/>
      <c r="E97" s="87"/>
      <c r="F97" s="87"/>
    </row>
    <row r="98" spans="1:6" ht="15" hidden="1" customHeight="1" x14ac:dyDescent="0.25">
      <c r="A98" s="190"/>
      <c r="B98" s="149"/>
      <c r="C98" s="149"/>
      <c r="D98" s="149"/>
      <c r="E98" s="24"/>
      <c r="F98" s="24"/>
    </row>
    <row r="99" spans="1:6" ht="15" hidden="1" customHeight="1" x14ac:dyDescent="0.25">
      <c r="A99" s="190"/>
      <c r="B99" s="149"/>
      <c r="C99" s="149"/>
      <c r="D99" s="149"/>
      <c r="E99" s="24"/>
      <c r="F99" s="24"/>
    </row>
    <row r="100" spans="1:6" ht="15" hidden="1" customHeight="1" x14ac:dyDescent="0.25">
      <c r="A100" s="190"/>
      <c r="B100" s="149"/>
      <c r="C100" s="149"/>
      <c r="D100" s="149"/>
      <c r="E100" s="24"/>
      <c r="F100" s="24"/>
    </row>
    <row r="101" spans="1:6" ht="15" hidden="1" customHeight="1" x14ac:dyDescent="0.25">
      <c r="A101" s="190"/>
      <c r="B101" s="149"/>
      <c r="C101" s="149"/>
      <c r="D101" s="149"/>
      <c r="E101" s="24"/>
      <c r="F101" s="24"/>
    </row>
    <row r="102" spans="1:6" ht="15" hidden="1" customHeight="1" x14ac:dyDescent="0.25">
      <c r="A102" s="190"/>
      <c r="B102" s="149"/>
      <c r="C102" s="149"/>
      <c r="D102" s="149"/>
      <c r="E102" s="24"/>
      <c r="F102" s="24"/>
    </row>
    <row r="103" spans="1:6" ht="15" hidden="1" customHeight="1" x14ac:dyDescent="0.25">
      <c r="A103" s="190"/>
      <c r="B103" s="149"/>
      <c r="C103" s="149"/>
      <c r="D103" s="149"/>
      <c r="E103" s="24"/>
      <c r="F103" s="24"/>
    </row>
    <row r="104" spans="1:6" ht="15" hidden="1" customHeight="1" x14ac:dyDescent="0.25">
      <c r="A104" s="190"/>
      <c r="B104" s="149"/>
      <c r="C104" s="149"/>
      <c r="D104" s="149"/>
      <c r="E104" s="24"/>
      <c r="F104" s="24"/>
    </row>
    <row r="105" spans="1:6" ht="15" hidden="1" customHeight="1" x14ac:dyDescent="0.25">
      <c r="A105" s="190"/>
      <c r="B105" s="149"/>
      <c r="C105" s="149"/>
      <c r="D105" s="149"/>
      <c r="E105" s="24"/>
      <c r="F105" s="24"/>
    </row>
    <row r="106" spans="1:6" ht="15" hidden="1" customHeight="1" x14ac:dyDescent="0.25">
      <c r="A106" s="190"/>
      <c r="B106" s="149"/>
      <c r="C106" s="149"/>
      <c r="D106" s="149"/>
      <c r="E106" s="24"/>
      <c r="F106" s="24"/>
    </row>
    <row r="107" spans="1:6" ht="15" hidden="1" customHeight="1" x14ac:dyDescent="0.25">
      <c r="A107" s="190"/>
      <c r="B107" s="149"/>
      <c r="C107" s="149"/>
      <c r="D107" s="149"/>
      <c r="E107" s="24"/>
      <c r="F107" s="24"/>
    </row>
    <row r="108" spans="1:6" ht="15" hidden="1" customHeight="1" x14ac:dyDescent="0.25">
      <c r="A108" s="190"/>
      <c r="B108" s="149"/>
      <c r="C108" s="149"/>
      <c r="D108" s="149"/>
      <c r="E108" s="24"/>
      <c r="F108" s="24"/>
    </row>
    <row r="109" spans="1:6" ht="15" hidden="1" customHeight="1" x14ac:dyDescent="0.25">
      <c r="A109" s="190"/>
      <c r="B109" s="149"/>
      <c r="C109" s="149"/>
      <c r="D109" s="149"/>
      <c r="E109" s="24"/>
      <c r="F109" s="24"/>
    </row>
    <row r="110" spans="1:6" ht="15" hidden="1" customHeight="1" x14ac:dyDescent="0.25">
      <c r="A110" s="190"/>
      <c r="B110" s="149"/>
      <c r="C110" s="149"/>
      <c r="D110" s="149"/>
      <c r="E110" s="24"/>
      <c r="F110" s="24"/>
    </row>
    <row r="111" spans="1:6" ht="15" hidden="1" customHeight="1" x14ac:dyDescent="0.25">
      <c r="A111" s="190"/>
      <c r="B111" s="149"/>
      <c r="C111" s="149"/>
      <c r="D111" s="149"/>
      <c r="E111" s="24"/>
      <c r="F111" s="24"/>
    </row>
    <row r="112" spans="1:6" ht="15" hidden="1" customHeight="1" x14ac:dyDescent="0.25">
      <c r="A112" s="190"/>
      <c r="B112" s="149"/>
      <c r="C112" s="149"/>
      <c r="D112" s="149"/>
      <c r="E112" s="24"/>
      <c r="F112" s="24"/>
    </row>
    <row r="113" spans="1:6" ht="15" hidden="1" customHeight="1" x14ac:dyDescent="0.25">
      <c r="A113" s="190"/>
      <c r="B113" s="149"/>
      <c r="C113" s="149"/>
      <c r="D113" s="149"/>
      <c r="E113" s="24"/>
      <c r="F113" s="24"/>
    </row>
    <row r="114" spans="1:6" ht="15" hidden="1" customHeight="1" x14ac:dyDescent="0.25">
      <c r="A114" s="190"/>
      <c r="B114" s="149"/>
      <c r="C114" s="149"/>
      <c r="D114" s="149"/>
      <c r="E114" s="24"/>
      <c r="F114" s="24"/>
    </row>
    <row r="115" spans="1:6" ht="15" hidden="1" customHeight="1" x14ac:dyDescent="0.25">
      <c r="A115" s="190"/>
      <c r="B115" s="149"/>
      <c r="C115" s="149"/>
      <c r="D115" s="149"/>
      <c r="E115" s="24"/>
      <c r="F115" s="24"/>
    </row>
    <row r="116" spans="1:6" ht="15" hidden="1" customHeight="1" x14ac:dyDescent="0.25">
      <c r="A116" s="190"/>
      <c r="B116" s="149"/>
      <c r="C116" s="149"/>
      <c r="D116" s="149"/>
      <c r="E116" s="24"/>
      <c r="F116" s="24"/>
    </row>
    <row r="117" spans="1:6" ht="15" hidden="1" customHeight="1" x14ac:dyDescent="0.25">
      <c r="A117" s="190"/>
      <c r="B117" s="149"/>
      <c r="C117" s="149"/>
      <c r="D117" s="149"/>
      <c r="E117" s="24"/>
      <c r="F117" s="24"/>
    </row>
    <row r="118" spans="1:6" ht="15" hidden="1" customHeight="1" x14ac:dyDescent="0.25">
      <c r="A118" s="190"/>
      <c r="B118" s="149"/>
      <c r="C118" s="149"/>
      <c r="D118" s="149"/>
      <c r="E118" s="24"/>
      <c r="F118" s="24"/>
    </row>
    <row r="119" spans="1:6" ht="15" hidden="1" customHeight="1" x14ac:dyDescent="0.25">
      <c r="A119" s="190"/>
      <c r="B119" s="149"/>
      <c r="C119" s="149"/>
      <c r="D119" s="149"/>
      <c r="E119" s="24"/>
      <c r="F119" s="24"/>
    </row>
    <row r="120" spans="1:6" ht="15" hidden="1" customHeight="1" x14ac:dyDescent="0.25">
      <c r="A120" s="190"/>
      <c r="B120" s="149"/>
      <c r="C120" s="149"/>
      <c r="D120" s="149"/>
      <c r="E120" s="24"/>
      <c r="F120" s="24"/>
    </row>
    <row r="121" spans="1:6" ht="15" hidden="1" customHeight="1" x14ac:dyDescent="0.25">
      <c r="A121" s="190"/>
      <c r="B121" s="149"/>
      <c r="C121" s="149"/>
      <c r="D121" s="149"/>
      <c r="E121" s="24"/>
      <c r="F121" s="24"/>
    </row>
    <row r="122" spans="1:6" ht="15" hidden="1" customHeight="1" x14ac:dyDescent="0.25">
      <c r="A122" s="190"/>
      <c r="B122" s="149"/>
      <c r="C122" s="149"/>
      <c r="D122" s="149"/>
      <c r="E122" s="24"/>
      <c r="F122" s="24"/>
    </row>
    <row r="123" spans="1:6" ht="15" hidden="1" customHeight="1" x14ac:dyDescent="0.25">
      <c r="A123" s="190"/>
      <c r="B123" s="149"/>
      <c r="C123" s="149"/>
      <c r="D123" s="149"/>
      <c r="E123" s="24"/>
      <c r="F123" s="24"/>
    </row>
    <row r="124" spans="1:6" ht="15" hidden="1" customHeight="1" x14ac:dyDescent="0.25">
      <c r="A124" s="190"/>
      <c r="B124" s="149"/>
      <c r="C124" s="149"/>
      <c r="D124" s="149"/>
      <c r="E124" s="24"/>
      <c r="F124" s="24"/>
    </row>
    <row r="125" spans="1:6" ht="15" hidden="1" customHeight="1" x14ac:dyDescent="0.25">
      <c r="A125" s="190"/>
      <c r="B125" s="149"/>
      <c r="C125" s="149"/>
      <c r="D125" s="149"/>
      <c r="E125" s="24"/>
      <c r="F125" s="24"/>
    </row>
    <row r="126" spans="1:6" ht="15" hidden="1" customHeight="1" x14ac:dyDescent="0.25">
      <c r="A126" s="190"/>
      <c r="B126" s="149"/>
      <c r="C126" s="149"/>
      <c r="D126" s="149"/>
      <c r="E126" s="24"/>
      <c r="F126" s="24"/>
    </row>
    <row r="127" spans="1:6" ht="15" hidden="1" customHeight="1" x14ac:dyDescent="0.25">
      <c r="A127" s="190"/>
      <c r="B127" s="149"/>
      <c r="C127" s="149"/>
      <c r="D127" s="149"/>
      <c r="E127" s="24"/>
      <c r="F127" s="24"/>
    </row>
    <row r="128" spans="1:6" ht="15" hidden="1" customHeight="1" x14ac:dyDescent="0.25">
      <c r="A128" s="190"/>
      <c r="B128" s="149"/>
      <c r="C128" s="149"/>
      <c r="D128" s="149"/>
      <c r="E128" s="24"/>
      <c r="F128" s="24"/>
    </row>
    <row r="129" spans="1:6" ht="15" hidden="1" customHeight="1" x14ac:dyDescent="0.25">
      <c r="A129" s="190"/>
      <c r="B129" s="149"/>
      <c r="C129" s="149"/>
      <c r="D129" s="149"/>
      <c r="E129" s="24"/>
      <c r="F129" s="24"/>
    </row>
    <row r="130" spans="1:6" ht="15" hidden="1" customHeight="1" x14ac:dyDescent="0.25">
      <c r="A130" s="190"/>
      <c r="B130" s="149"/>
      <c r="C130" s="149"/>
      <c r="D130" s="149"/>
      <c r="E130" s="24"/>
      <c r="F130" s="24"/>
    </row>
    <row r="131" spans="1:6" ht="15" hidden="1" customHeight="1" x14ac:dyDescent="0.25">
      <c r="A131" s="190"/>
      <c r="B131" s="149"/>
      <c r="C131" s="149"/>
      <c r="D131" s="149"/>
      <c r="E131" s="24"/>
      <c r="F131" s="24"/>
    </row>
    <row r="132" spans="1:6" ht="15" hidden="1" customHeight="1" x14ac:dyDescent="0.25">
      <c r="A132" s="190"/>
      <c r="B132" s="149"/>
      <c r="C132" s="149"/>
      <c r="D132" s="149"/>
      <c r="E132" s="24"/>
      <c r="F132" s="24"/>
    </row>
    <row r="133" spans="1:6" ht="15" hidden="1" customHeight="1" x14ac:dyDescent="0.25">
      <c r="A133" s="190"/>
      <c r="B133" s="149"/>
      <c r="C133" s="149"/>
      <c r="D133" s="149"/>
      <c r="E133" s="24"/>
      <c r="F133" s="24"/>
    </row>
    <row r="134" spans="1:6" ht="15" hidden="1" customHeight="1" x14ac:dyDescent="0.25">
      <c r="A134" s="190"/>
      <c r="B134" s="149"/>
      <c r="C134" s="149"/>
      <c r="D134" s="149"/>
      <c r="E134" s="24"/>
      <c r="F134" s="24"/>
    </row>
    <row r="135" spans="1:6" ht="15" hidden="1" customHeight="1" x14ac:dyDescent="0.25">
      <c r="A135" s="190"/>
      <c r="B135" s="149"/>
      <c r="C135" s="149"/>
      <c r="D135" s="149"/>
      <c r="E135" s="24"/>
      <c r="F135" s="24"/>
    </row>
    <row r="136" spans="1:6" ht="15" hidden="1" customHeight="1" x14ac:dyDescent="0.25">
      <c r="A136" s="190"/>
      <c r="B136" s="149"/>
      <c r="C136" s="149"/>
      <c r="D136" s="149"/>
      <c r="E136" s="24"/>
      <c r="F136" s="24"/>
    </row>
    <row r="137" spans="1:6" ht="15" hidden="1" customHeight="1" x14ac:dyDescent="0.25">
      <c r="A137" s="190"/>
      <c r="B137" s="149"/>
      <c r="C137" s="149"/>
      <c r="D137" s="149"/>
      <c r="E137" s="24"/>
      <c r="F137" s="24"/>
    </row>
    <row r="138" spans="1:6" ht="15" hidden="1" customHeight="1" x14ac:dyDescent="0.25">
      <c r="A138" s="190"/>
      <c r="B138" s="149"/>
      <c r="C138" s="149"/>
      <c r="D138" s="149"/>
      <c r="E138" s="24"/>
      <c r="F138" s="24"/>
    </row>
    <row r="139" spans="1:6" ht="15" hidden="1" customHeight="1" x14ac:dyDescent="0.25">
      <c r="A139" s="190"/>
      <c r="B139" s="149"/>
      <c r="C139" s="149"/>
      <c r="D139" s="149"/>
      <c r="E139" s="24"/>
      <c r="F139" s="24"/>
    </row>
    <row r="140" spans="1:6" ht="15" hidden="1" customHeight="1" x14ac:dyDescent="0.25">
      <c r="A140" s="190"/>
      <c r="B140" s="149"/>
      <c r="C140" s="149"/>
      <c r="D140" s="149"/>
      <c r="E140" s="24"/>
      <c r="F140" s="24"/>
    </row>
    <row r="141" spans="1:6" ht="15" hidden="1" customHeight="1" x14ac:dyDescent="0.25">
      <c r="A141" s="190"/>
      <c r="B141" s="149"/>
      <c r="C141" s="149"/>
      <c r="D141" s="149"/>
      <c r="E141" s="24"/>
      <c r="F141" s="24"/>
    </row>
    <row r="142" spans="1:6" ht="15" hidden="1" customHeight="1" x14ac:dyDescent="0.25">
      <c r="A142" s="190"/>
      <c r="B142" s="149"/>
      <c r="C142" s="149"/>
      <c r="D142" s="149"/>
      <c r="E142" s="24"/>
      <c r="F142" s="24"/>
    </row>
    <row r="143" spans="1:6" ht="15" hidden="1" customHeight="1" x14ac:dyDescent="0.25">
      <c r="A143" s="190"/>
      <c r="B143" s="149"/>
      <c r="C143" s="149"/>
      <c r="D143" s="149"/>
      <c r="E143" s="24"/>
      <c r="F143" s="24"/>
    </row>
    <row r="144" spans="1:6" ht="15" hidden="1" customHeight="1" x14ac:dyDescent="0.25">
      <c r="A144" s="190"/>
      <c r="B144" s="149"/>
      <c r="C144" s="149"/>
      <c r="D144" s="149"/>
      <c r="E144" s="24"/>
      <c r="F144" s="24"/>
    </row>
    <row r="145" spans="1:6" ht="15" hidden="1" customHeight="1" x14ac:dyDescent="0.25">
      <c r="A145" s="190"/>
      <c r="B145" s="149"/>
      <c r="C145" s="149"/>
      <c r="D145" s="149"/>
      <c r="E145" s="24"/>
      <c r="F145" s="24"/>
    </row>
    <row r="146" spans="1:6" ht="15" hidden="1" customHeight="1" x14ac:dyDescent="0.25">
      <c r="A146" s="190"/>
      <c r="B146" s="149"/>
      <c r="C146" s="149"/>
      <c r="D146" s="149"/>
      <c r="E146" s="24"/>
      <c r="F146" s="24"/>
    </row>
    <row r="147" spans="1:6" ht="15" hidden="1" customHeight="1" x14ac:dyDescent="0.25">
      <c r="A147" s="190"/>
      <c r="B147" s="149"/>
      <c r="C147" s="149"/>
      <c r="D147" s="149"/>
      <c r="E147" s="24"/>
      <c r="F147" s="24"/>
    </row>
    <row r="148" spans="1:6" ht="15" hidden="1" customHeight="1" x14ac:dyDescent="0.25">
      <c r="A148" s="190"/>
      <c r="B148" s="149"/>
      <c r="C148" s="149"/>
      <c r="D148" s="149"/>
      <c r="E148" s="24"/>
      <c r="F148" s="24"/>
    </row>
    <row r="149" spans="1:6" ht="15" hidden="1" customHeight="1" x14ac:dyDescent="0.25">
      <c r="A149" s="190"/>
      <c r="B149" s="149"/>
      <c r="C149" s="149"/>
      <c r="D149" s="149"/>
      <c r="E149" s="24"/>
      <c r="F149" s="24"/>
    </row>
    <row r="150" spans="1:6" ht="15" hidden="1" customHeight="1" x14ac:dyDescent="0.25">
      <c r="A150" s="190"/>
      <c r="B150" s="149"/>
      <c r="C150" s="149"/>
      <c r="D150" s="149"/>
      <c r="E150" s="24"/>
      <c r="F150" s="24"/>
    </row>
    <row r="151" spans="1:6" ht="15" hidden="1" customHeight="1" x14ac:dyDescent="0.25">
      <c r="A151" s="190"/>
      <c r="B151" s="149"/>
      <c r="C151" s="149"/>
      <c r="D151" s="149"/>
      <c r="E151" s="24"/>
      <c r="F151" s="24"/>
    </row>
    <row r="152" spans="1:6" ht="15" hidden="1" customHeight="1" x14ac:dyDescent="0.25">
      <c r="A152" s="190"/>
      <c r="B152" s="149"/>
      <c r="C152" s="149"/>
      <c r="D152" s="149"/>
      <c r="E152" s="24"/>
      <c r="F152" s="24"/>
    </row>
    <row r="153" spans="1:6" ht="15" hidden="1" customHeight="1" x14ac:dyDescent="0.25">
      <c r="A153" s="190"/>
      <c r="B153" s="149"/>
      <c r="C153" s="149"/>
      <c r="D153" s="149"/>
      <c r="E153" s="24"/>
      <c r="F153" s="24"/>
    </row>
    <row r="154" spans="1:6" ht="15" hidden="1" customHeight="1" x14ac:dyDescent="0.25">
      <c r="A154" s="190"/>
      <c r="B154" s="149"/>
      <c r="C154" s="149"/>
      <c r="D154" s="149"/>
      <c r="E154" s="24"/>
      <c r="F154" s="24"/>
    </row>
    <row r="155" spans="1:6" ht="15" hidden="1" customHeight="1" x14ac:dyDescent="0.25">
      <c r="A155" s="190"/>
      <c r="B155" s="149"/>
      <c r="C155" s="149"/>
      <c r="D155" s="149"/>
      <c r="E155" s="24"/>
      <c r="F155" s="24"/>
    </row>
    <row r="156" spans="1:6" ht="15" hidden="1" customHeight="1" x14ac:dyDescent="0.25">
      <c r="A156" s="190"/>
      <c r="B156" s="149"/>
      <c r="C156" s="149"/>
      <c r="D156" s="149"/>
      <c r="E156" s="24"/>
      <c r="F156" s="24"/>
    </row>
    <row r="157" spans="1:6" ht="15" hidden="1" customHeight="1" x14ac:dyDescent="0.25">
      <c r="A157" s="190"/>
      <c r="B157" s="149"/>
      <c r="C157" s="149"/>
      <c r="D157" s="149"/>
      <c r="E157" s="24"/>
      <c r="F157" s="24"/>
    </row>
    <row r="158" spans="1:6" ht="15" hidden="1" customHeight="1" x14ac:dyDescent="0.25">
      <c r="A158" s="190"/>
      <c r="B158" s="149"/>
      <c r="C158" s="149"/>
      <c r="D158" s="149"/>
      <c r="E158" s="24"/>
      <c r="F158" s="24"/>
    </row>
    <row r="159" spans="1:6" ht="15" hidden="1" customHeight="1" x14ac:dyDescent="0.25">
      <c r="A159" s="190"/>
      <c r="B159" s="149"/>
      <c r="C159" s="149"/>
      <c r="D159" s="149"/>
      <c r="E159" s="24"/>
      <c r="F159" s="24"/>
    </row>
    <row r="160" spans="1:6" ht="15" hidden="1" customHeight="1" x14ac:dyDescent="0.25">
      <c r="A160" s="190"/>
      <c r="B160" s="149"/>
      <c r="C160" s="149"/>
      <c r="D160" s="149"/>
      <c r="E160" s="24"/>
      <c r="F160" s="24"/>
    </row>
    <row r="161" spans="1:6" ht="15" hidden="1" customHeight="1" x14ac:dyDescent="0.25">
      <c r="A161" s="190"/>
      <c r="B161" s="149"/>
      <c r="C161" s="149"/>
      <c r="D161" s="149"/>
      <c r="E161" s="24"/>
      <c r="F161" s="24"/>
    </row>
    <row r="162" spans="1:6" ht="15" hidden="1" customHeight="1" x14ac:dyDescent="0.25">
      <c r="A162" s="190"/>
      <c r="B162" s="149"/>
      <c r="C162" s="149"/>
      <c r="D162" s="149"/>
      <c r="E162" s="24"/>
      <c r="F162" s="24"/>
    </row>
    <row r="163" spans="1:6" ht="15" hidden="1" customHeight="1" x14ac:dyDescent="0.25">
      <c r="A163" s="190"/>
      <c r="B163" s="149"/>
      <c r="C163" s="149"/>
      <c r="D163" s="149"/>
      <c r="E163" s="24"/>
      <c r="F163" s="24"/>
    </row>
    <row r="164" spans="1:6" ht="15" hidden="1" customHeight="1" x14ac:dyDescent="0.25">
      <c r="A164" s="190"/>
      <c r="B164" s="149"/>
      <c r="C164" s="149"/>
      <c r="D164" s="149"/>
      <c r="E164" s="24"/>
      <c r="F164" s="24"/>
    </row>
    <row r="165" spans="1:6" ht="15" hidden="1" customHeight="1" x14ac:dyDescent="0.25">
      <c r="A165" s="190"/>
      <c r="B165" s="149"/>
      <c r="C165" s="149"/>
      <c r="D165" s="149"/>
      <c r="E165" s="24"/>
      <c r="F165" s="24"/>
    </row>
    <row r="166" spans="1:6" ht="15" hidden="1" customHeight="1" x14ac:dyDescent="0.25">
      <c r="A166" s="190"/>
      <c r="B166" s="149"/>
      <c r="C166" s="149"/>
      <c r="D166" s="149"/>
      <c r="E166" s="24"/>
      <c r="F166" s="24"/>
    </row>
    <row r="167" spans="1:6" ht="15" hidden="1" customHeight="1" x14ac:dyDescent="0.25">
      <c r="A167" s="190"/>
      <c r="B167" s="149"/>
      <c r="C167" s="149"/>
      <c r="D167" s="149"/>
      <c r="E167" s="24"/>
      <c r="F167" s="24"/>
    </row>
    <row r="168" spans="1:6" ht="15" hidden="1" customHeight="1" x14ac:dyDescent="0.25">
      <c r="A168" s="190"/>
      <c r="B168" s="149"/>
      <c r="C168" s="149"/>
      <c r="D168" s="149"/>
      <c r="E168" s="24"/>
      <c r="F168" s="24"/>
    </row>
    <row r="169" spans="1:6" ht="15" hidden="1" customHeight="1" x14ac:dyDescent="0.25">
      <c r="A169" s="190"/>
      <c r="B169" s="149"/>
      <c r="C169" s="149"/>
      <c r="D169" s="149"/>
      <c r="E169" s="24"/>
      <c r="F169" s="24"/>
    </row>
    <row r="170" spans="1:6" ht="15" hidden="1" customHeight="1" x14ac:dyDescent="0.25">
      <c r="A170" s="190"/>
      <c r="B170" s="149"/>
      <c r="C170" s="149"/>
      <c r="D170" s="149"/>
      <c r="E170" s="24"/>
      <c r="F170" s="24"/>
    </row>
    <row r="171" spans="1:6" ht="15" hidden="1" customHeight="1" x14ac:dyDescent="0.25">
      <c r="A171" s="190"/>
      <c r="B171" s="149"/>
      <c r="C171" s="149"/>
      <c r="D171" s="149"/>
      <c r="E171" s="24"/>
      <c r="F171" s="24"/>
    </row>
    <row r="172" spans="1:6" ht="15" hidden="1" customHeight="1" x14ac:dyDescent="0.25">
      <c r="A172" s="190"/>
      <c r="B172" s="149"/>
      <c r="C172" s="149"/>
      <c r="D172" s="149"/>
      <c r="E172" s="24"/>
      <c r="F172" s="24"/>
    </row>
    <row r="173" spans="1:6" ht="15" hidden="1" customHeight="1" x14ac:dyDescent="0.25">
      <c r="A173" s="190"/>
      <c r="B173" s="149"/>
      <c r="C173" s="149"/>
      <c r="D173" s="149"/>
      <c r="E173" s="24"/>
      <c r="F173" s="24"/>
    </row>
    <row r="174" spans="1:6" ht="15" hidden="1" customHeight="1" x14ac:dyDescent="0.25">
      <c r="A174" s="190"/>
      <c r="B174" s="149"/>
      <c r="C174" s="149"/>
      <c r="D174" s="149"/>
      <c r="E174" s="24"/>
      <c r="F174" s="24"/>
    </row>
    <row r="175" spans="1:6" ht="15" hidden="1" customHeight="1" x14ac:dyDescent="0.25">
      <c r="A175" s="190"/>
      <c r="B175" s="149"/>
      <c r="C175" s="149"/>
      <c r="D175" s="149"/>
      <c r="E175" s="24"/>
      <c r="F175" s="24"/>
    </row>
    <row r="176" spans="1:6" ht="15" hidden="1" customHeight="1" x14ac:dyDescent="0.25">
      <c r="A176" s="190"/>
      <c r="B176" s="149"/>
      <c r="C176" s="149"/>
      <c r="D176" s="149"/>
      <c r="E176" s="24"/>
      <c r="F176" s="24"/>
    </row>
    <row r="177" spans="1:6" ht="15" hidden="1" customHeight="1" x14ac:dyDescent="0.25">
      <c r="A177" s="190"/>
      <c r="B177" s="149"/>
      <c r="C177" s="149"/>
      <c r="D177" s="149"/>
      <c r="E177" s="24"/>
      <c r="F177" s="24"/>
    </row>
    <row r="178" spans="1:6" ht="15" hidden="1" customHeight="1" x14ac:dyDescent="0.25">
      <c r="A178" s="190"/>
      <c r="B178" s="149"/>
      <c r="C178" s="149"/>
      <c r="D178" s="149"/>
      <c r="E178" s="24"/>
      <c r="F178" s="24"/>
    </row>
    <row r="179" spans="1:6" ht="15" hidden="1" customHeight="1" x14ac:dyDescent="0.25">
      <c r="A179" s="190"/>
      <c r="B179" s="149"/>
      <c r="C179" s="149"/>
      <c r="D179" s="149"/>
      <c r="E179" s="24"/>
      <c r="F179" s="24"/>
    </row>
    <row r="180" spans="1:6" ht="15" hidden="1" customHeight="1" x14ac:dyDescent="0.25">
      <c r="A180" s="190"/>
      <c r="B180" s="149"/>
      <c r="C180" s="149"/>
      <c r="D180" s="149"/>
      <c r="E180" s="24"/>
      <c r="F180" s="24"/>
    </row>
    <row r="181" spans="1:6" ht="15" hidden="1" customHeight="1" x14ac:dyDescent="0.25">
      <c r="A181" s="190"/>
      <c r="B181" s="149"/>
      <c r="C181" s="149"/>
      <c r="D181" s="149"/>
      <c r="E181" s="24"/>
      <c r="F181" s="24"/>
    </row>
    <row r="182" spans="1:6" ht="15" hidden="1" customHeight="1" x14ac:dyDescent="0.25">
      <c r="A182" s="190"/>
      <c r="B182" s="149"/>
      <c r="C182" s="149"/>
      <c r="D182" s="149"/>
      <c r="E182" s="24"/>
      <c r="F182" s="24"/>
    </row>
    <row r="183" spans="1:6" ht="15" hidden="1" customHeight="1" x14ac:dyDescent="0.25">
      <c r="A183" s="190"/>
      <c r="B183" s="149"/>
      <c r="C183" s="149"/>
      <c r="D183" s="149"/>
      <c r="E183" s="24"/>
      <c r="F183" s="24"/>
    </row>
    <row r="184" spans="1:6" ht="15" hidden="1" customHeight="1" x14ac:dyDescent="0.25">
      <c r="A184" s="190"/>
      <c r="B184" s="149"/>
      <c r="C184" s="149"/>
      <c r="D184" s="149"/>
      <c r="E184" s="24"/>
      <c r="F184" s="24"/>
    </row>
    <row r="185" spans="1:6" ht="15" hidden="1" customHeight="1" x14ac:dyDescent="0.25">
      <c r="A185" s="190"/>
      <c r="B185" s="149"/>
      <c r="C185" s="149"/>
      <c r="D185" s="149"/>
      <c r="E185" s="24"/>
      <c r="F185" s="24"/>
    </row>
    <row r="186" spans="1:6" ht="15" hidden="1" customHeight="1" x14ac:dyDescent="0.25">
      <c r="A186" s="190"/>
      <c r="B186" s="149"/>
      <c r="C186" s="149"/>
      <c r="D186" s="149"/>
      <c r="E186" s="24"/>
      <c r="F186" s="24"/>
    </row>
    <row r="187" spans="1:6" ht="15" hidden="1" customHeight="1" x14ac:dyDescent="0.25">
      <c r="A187" s="190"/>
      <c r="B187" s="149"/>
      <c r="C187" s="149"/>
      <c r="D187" s="149"/>
      <c r="E187" s="24"/>
      <c r="F187" s="24"/>
    </row>
    <row r="188" spans="1:6" ht="15" hidden="1" customHeight="1" x14ac:dyDescent="0.25">
      <c r="A188" s="190"/>
      <c r="B188" s="149"/>
      <c r="C188" s="149"/>
      <c r="D188" s="149"/>
      <c r="E188" s="24"/>
      <c r="F188" s="24"/>
    </row>
    <row r="189" spans="1:6" ht="15" hidden="1" customHeight="1" x14ac:dyDescent="0.25">
      <c r="A189" s="190"/>
      <c r="B189" s="149"/>
      <c r="C189" s="149"/>
      <c r="D189" s="149"/>
      <c r="E189" s="24"/>
      <c r="F189" s="24"/>
    </row>
    <row r="190" spans="1:6" ht="15" hidden="1" customHeight="1" x14ac:dyDescent="0.25">
      <c r="A190" s="190"/>
      <c r="B190" s="149"/>
      <c r="C190" s="149"/>
      <c r="D190" s="149"/>
      <c r="E190" s="24"/>
      <c r="F190" s="24"/>
    </row>
    <row r="191" spans="1:6" ht="15" hidden="1" customHeight="1" x14ac:dyDescent="0.25">
      <c r="A191" s="190"/>
      <c r="B191" s="149"/>
      <c r="C191" s="149"/>
      <c r="D191" s="149"/>
      <c r="E191" s="24"/>
      <c r="F191" s="24"/>
    </row>
    <row r="192" spans="1:6" ht="15" hidden="1" customHeight="1" x14ac:dyDescent="0.25">
      <c r="A192" s="190"/>
      <c r="B192" s="149"/>
      <c r="C192" s="149"/>
      <c r="D192" s="149"/>
      <c r="E192" s="24"/>
      <c r="F192" s="24"/>
    </row>
    <row r="193" spans="1:6" ht="15" hidden="1" customHeight="1" x14ac:dyDescent="0.25">
      <c r="A193" s="190"/>
      <c r="B193" s="149"/>
      <c r="C193" s="149"/>
      <c r="D193" s="149"/>
      <c r="E193" s="24"/>
      <c r="F193" s="24"/>
    </row>
    <row r="194" spans="1:6" ht="15" hidden="1" customHeight="1" x14ac:dyDescent="0.25">
      <c r="A194" s="190"/>
      <c r="B194" s="149"/>
      <c r="C194" s="149"/>
      <c r="D194" s="149"/>
      <c r="E194" s="24"/>
      <c r="F194" s="24"/>
    </row>
    <row r="195" spans="1:6" ht="15" hidden="1" customHeight="1" x14ac:dyDescent="0.25">
      <c r="A195" s="190"/>
      <c r="B195" s="149"/>
      <c r="C195" s="149"/>
      <c r="D195" s="149"/>
      <c r="E195" s="24"/>
      <c r="F195" s="24"/>
    </row>
    <row r="196" spans="1:6" ht="15" hidden="1" customHeight="1" x14ac:dyDescent="0.25">
      <c r="A196" s="190"/>
      <c r="B196" s="149"/>
      <c r="C196" s="149"/>
      <c r="D196" s="149"/>
      <c r="E196" s="24"/>
      <c r="F196" s="24"/>
    </row>
    <row r="197" spans="1:6" ht="15" hidden="1" customHeight="1" x14ac:dyDescent="0.25">
      <c r="A197" s="190"/>
      <c r="B197" s="149"/>
      <c r="C197" s="149"/>
      <c r="D197" s="149"/>
      <c r="E197" s="24"/>
      <c r="F197" s="24"/>
    </row>
    <row r="198" spans="1:6" ht="15" hidden="1" customHeight="1" x14ac:dyDescent="0.25">
      <c r="A198" s="190"/>
      <c r="B198" s="149"/>
      <c r="C198" s="149"/>
      <c r="D198" s="149"/>
      <c r="E198" s="24"/>
      <c r="F198" s="24"/>
    </row>
    <row r="199" spans="1:6" ht="15" hidden="1" customHeight="1" x14ac:dyDescent="0.25">
      <c r="A199" s="190"/>
      <c r="B199" s="149"/>
      <c r="C199" s="149"/>
      <c r="D199" s="149"/>
      <c r="E199" s="24"/>
      <c r="F199" s="24"/>
    </row>
    <row r="200" spans="1:6" ht="15" hidden="1" customHeight="1" x14ac:dyDescent="0.25">
      <c r="A200" s="190"/>
      <c r="B200" s="149"/>
      <c r="C200" s="149"/>
      <c r="D200" s="149"/>
      <c r="E200" s="24"/>
      <c r="F200" s="24"/>
    </row>
    <row r="201" spans="1:6" ht="15" hidden="1" customHeight="1" x14ac:dyDescent="0.25">
      <c r="A201" s="190"/>
      <c r="B201" s="149"/>
      <c r="C201" s="149"/>
      <c r="D201" s="149"/>
      <c r="E201" s="24"/>
      <c r="F201" s="24"/>
    </row>
    <row r="202" spans="1:6" ht="15" hidden="1" customHeight="1" x14ac:dyDescent="0.25">
      <c r="A202" s="190"/>
      <c r="B202" s="149"/>
      <c r="C202" s="149"/>
      <c r="D202" s="149"/>
      <c r="E202" s="24"/>
      <c r="F202" s="24"/>
    </row>
    <row r="203" spans="1:6" ht="15" hidden="1" customHeight="1" x14ac:dyDescent="0.25">
      <c r="A203" s="190"/>
      <c r="B203" s="149"/>
      <c r="C203" s="149"/>
      <c r="D203" s="149"/>
      <c r="E203" s="24"/>
      <c r="F203" s="24"/>
    </row>
    <row r="204" spans="1:6" ht="15" hidden="1" customHeight="1" x14ac:dyDescent="0.25">
      <c r="A204" s="190"/>
      <c r="B204" s="149"/>
      <c r="C204" s="149"/>
      <c r="D204" s="149"/>
      <c r="E204" s="24"/>
      <c r="F204" s="24"/>
    </row>
    <row r="205" spans="1:6" ht="15" hidden="1" customHeight="1" x14ac:dyDescent="0.25">
      <c r="A205" s="190"/>
      <c r="B205" s="149"/>
      <c r="C205" s="149"/>
      <c r="D205" s="149"/>
      <c r="E205" s="24"/>
      <c r="F205" s="24"/>
    </row>
    <row r="206" spans="1:6" ht="15" hidden="1" customHeight="1" x14ac:dyDescent="0.25">
      <c r="A206" s="190"/>
      <c r="B206" s="149"/>
      <c r="C206" s="149"/>
      <c r="D206" s="149"/>
      <c r="E206" s="24"/>
      <c r="F206" s="24"/>
    </row>
    <row r="207" spans="1:6" ht="15" hidden="1" customHeight="1" x14ac:dyDescent="0.25">
      <c r="A207" s="190"/>
      <c r="B207" s="149"/>
      <c r="C207" s="149"/>
      <c r="D207" s="149"/>
      <c r="E207" s="24"/>
      <c r="F207" s="24"/>
    </row>
    <row r="208" spans="1:6" ht="15" hidden="1" customHeight="1" x14ac:dyDescent="0.25">
      <c r="A208" s="190"/>
      <c r="B208" s="149"/>
      <c r="C208" s="149"/>
      <c r="D208" s="149"/>
      <c r="E208" s="24"/>
      <c r="F208" s="24"/>
    </row>
    <row r="209" spans="1:6" ht="15" hidden="1" customHeight="1" x14ac:dyDescent="0.25">
      <c r="A209" s="190"/>
      <c r="B209" s="149"/>
      <c r="C209" s="149"/>
      <c r="D209" s="149"/>
      <c r="E209" s="24"/>
      <c r="F209" s="24"/>
    </row>
    <row r="210" spans="1:6" ht="15" hidden="1" customHeight="1" x14ac:dyDescent="0.25">
      <c r="A210" s="190"/>
      <c r="B210" s="149"/>
      <c r="C210" s="149"/>
      <c r="D210" s="149"/>
      <c r="E210" s="24"/>
      <c r="F210" s="24"/>
    </row>
    <row r="211" spans="1:6" ht="15" hidden="1" customHeight="1" x14ac:dyDescent="0.25">
      <c r="A211" s="190"/>
      <c r="B211" s="149"/>
      <c r="C211" s="149"/>
      <c r="D211" s="149"/>
      <c r="E211" s="24"/>
      <c r="F211" s="24"/>
    </row>
    <row r="212" spans="1:6" ht="15" hidden="1" customHeight="1" x14ac:dyDescent="0.25">
      <c r="A212" s="190"/>
      <c r="B212" s="149"/>
      <c r="C212" s="149"/>
      <c r="D212" s="149"/>
      <c r="E212" s="24"/>
      <c r="F212" s="24"/>
    </row>
    <row r="213" spans="1:6" ht="15" hidden="1" customHeight="1" x14ac:dyDescent="0.25">
      <c r="A213" s="190"/>
      <c r="B213" s="149"/>
      <c r="C213" s="149"/>
      <c r="D213" s="149"/>
      <c r="E213" s="24"/>
      <c r="F213" s="24"/>
    </row>
    <row r="214" spans="1:6" ht="15" hidden="1" customHeight="1" x14ac:dyDescent="0.25">
      <c r="A214" s="190"/>
      <c r="B214" s="149"/>
      <c r="C214" s="149"/>
      <c r="D214" s="149"/>
      <c r="E214" s="24"/>
      <c r="F214" s="24"/>
    </row>
    <row r="215" spans="1:6" ht="15" hidden="1" customHeight="1" x14ac:dyDescent="0.25">
      <c r="A215" s="190"/>
      <c r="B215" s="149"/>
      <c r="C215" s="149"/>
      <c r="D215" s="149"/>
      <c r="E215" s="24"/>
      <c r="F215" s="24"/>
    </row>
    <row r="216" spans="1:6" ht="15" hidden="1" customHeight="1" x14ac:dyDescent="0.25">
      <c r="A216" s="190"/>
      <c r="B216" s="149"/>
      <c r="C216" s="149"/>
      <c r="D216" s="149"/>
      <c r="E216" s="24"/>
      <c r="F216" s="24"/>
    </row>
    <row r="217" spans="1:6" ht="15" hidden="1" customHeight="1" x14ac:dyDescent="0.25">
      <c r="A217" s="190"/>
      <c r="B217" s="149"/>
      <c r="C217" s="149"/>
      <c r="D217" s="149"/>
      <c r="E217" s="24"/>
      <c r="F217" s="24"/>
    </row>
    <row r="218" spans="1:6" ht="15" hidden="1" customHeight="1" x14ac:dyDescent="0.25">
      <c r="A218" s="190"/>
      <c r="B218" s="149"/>
      <c r="C218" s="149"/>
      <c r="D218" s="149"/>
      <c r="E218" s="24"/>
      <c r="F218" s="24"/>
    </row>
    <row r="219" spans="1:6" ht="15" hidden="1" customHeight="1" x14ac:dyDescent="0.25">
      <c r="A219" s="190"/>
      <c r="B219" s="149"/>
      <c r="C219" s="149"/>
      <c r="D219" s="149"/>
      <c r="E219" s="24"/>
      <c r="F219" s="24"/>
    </row>
    <row r="220" spans="1:6" ht="15" hidden="1" customHeight="1" x14ac:dyDescent="0.25">
      <c r="A220" s="190"/>
      <c r="B220" s="149"/>
      <c r="C220" s="149"/>
      <c r="D220" s="149"/>
      <c r="E220" s="24"/>
      <c r="F220" s="24"/>
    </row>
    <row r="221" spans="1:6" ht="15" hidden="1" customHeight="1" x14ac:dyDescent="0.25">
      <c r="A221" s="190"/>
      <c r="B221" s="149"/>
      <c r="C221" s="149"/>
      <c r="D221" s="149"/>
      <c r="E221" s="24"/>
      <c r="F221" s="24"/>
    </row>
    <row r="222" spans="1:6" ht="15" hidden="1" customHeight="1" x14ac:dyDescent="0.25">
      <c r="A222" s="190"/>
      <c r="B222" s="149"/>
      <c r="C222" s="149"/>
      <c r="D222" s="149"/>
      <c r="E222" s="24"/>
      <c r="F222" s="24"/>
    </row>
    <row r="223" spans="1:6" ht="15" hidden="1" customHeight="1" x14ac:dyDescent="0.25">
      <c r="A223" s="190"/>
      <c r="B223" s="149"/>
      <c r="C223" s="149"/>
      <c r="D223" s="149"/>
      <c r="E223" s="24"/>
      <c r="F223" s="24"/>
    </row>
    <row r="224" spans="1:6" ht="15" hidden="1" customHeight="1" x14ac:dyDescent="0.25">
      <c r="A224" s="190"/>
      <c r="B224" s="149"/>
      <c r="C224" s="149"/>
      <c r="D224" s="149"/>
      <c r="E224" s="24"/>
      <c r="F224" s="24"/>
    </row>
    <row r="225" spans="1:6" ht="15" hidden="1" customHeight="1" x14ac:dyDescent="0.25">
      <c r="A225" s="190"/>
      <c r="B225" s="149"/>
      <c r="C225" s="149"/>
      <c r="D225" s="149"/>
      <c r="E225" s="24"/>
      <c r="F225" s="24"/>
    </row>
    <row r="226" spans="1:6" ht="15" hidden="1" customHeight="1" x14ac:dyDescent="0.25">
      <c r="A226" s="190"/>
      <c r="B226" s="149"/>
      <c r="C226" s="149"/>
      <c r="D226" s="149"/>
      <c r="E226" s="24"/>
      <c r="F226" s="24"/>
    </row>
    <row r="227" spans="1:6" ht="15" hidden="1" customHeight="1" x14ac:dyDescent="0.25">
      <c r="A227" s="190"/>
      <c r="B227" s="149"/>
      <c r="C227" s="149"/>
      <c r="D227" s="149"/>
      <c r="E227" s="24"/>
      <c r="F227" s="24"/>
    </row>
    <row r="228" spans="1:6" ht="15" hidden="1" customHeight="1" x14ac:dyDescent="0.25">
      <c r="A228" s="190"/>
      <c r="B228" s="149"/>
      <c r="C228" s="149"/>
      <c r="D228" s="149"/>
      <c r="E228" s="24"/>
      <c r="F228" s="24"/>
    </row>
    <row r="229" spans="1:6" ht="15" hidden="1" customHeight="1" x14ac:dyDescent="0.25">
      <c r="A229" s="190"/>
      <c r="B229" s="149"/>
      <c r="C229" s="149"/>
      <c r="D229" s="149"/>
      <c r="E229" s="24"/>
      <c r="F229" s="24"/>
    </row>
    <row r="230" spans="1:6" ht="15" hidden="1" customHeight="1" x14ac:dyDescent="0.25">
      <c r="A230" s="190"/>
      <c r="B230" s="149"/>
      <c r="C230" s="149"/>
      <c r="D230" s="149"/>
      <c r="E230" s="24"/>
      <c r="F230" s="24"/>
    </row>
    <row r="231" spans="1:6" ht="15" hidden="1" customHeight="1" x14ac:dyDescent="0.25">
      <c r="A231" s="190"/>
      <c r="B231" s="149"/>
      <c r="C231" s="149"/>
      <c r="D231" s="149"/>
      <c r="E231" s="24"/>
      <c r="F231" s="24"/>
    </row>
    <row r="232" spans="1:6" ht="15" hidden="1" customHeight="1" x14ac:dyDescent="0.25">
      <c r="A232" s="190"/>
      <c r="B232" s="149"/>
      <c r="C232" s="149"/>
      <c r="D232" s="149"/>
      <c r="E232" s="24"/>
      <c r="F232" s="24"/>
    </row>
    <row r="233" spans="1:6" ht="15" hidden="1" customHeight="1" x14ac:dyDescent="0.25">
      <c r="A233" s="190"/>
      <c r="B233" s="149"/>
      <c r="C233" s="149"/>
      <c r="D233" s="149"/>
      <c r="E233" s="24"/>
      <c r="F233" s="24"/>
    </row>
    <row r="234" spans="1:6" ht="15" hidden="1" customHeight="1" x14ac:dyDescent="0.25">
      <c r="A234" s="190"/>
      <c r="B234" s="149"/>
      <c r="C234" s="149"/>
      <c r="D234" s="149"/>
      <c r="E234" s="24"/>
      <c r="F234" s="24"/>
    </row>
    <row r="235" spans="1:6" ht="15" hidden="1" customHeight="1" x14ac:dyDescent="0.25">
      <c r="A235" s="190"/>
      <c r="B235" s="149"/>
      <c r="C235" s="149"/>
      <c r="D235" s="149"/>
      <c r="E235" s="24"/>
      <c r="F235" s="24"/>
    </row>
    <row r="236" spans="1:6" ht="15" hidden="1" customHeight="1" x14ac:dyDescent="0.25">
      <c r="A236" s="190"/>
      <c r="B236" s="149"/>
      <c r="C236" s="149"/>
      <c r="D236" s="149"/>
      <c r="E236" s="24"/>
      <c r="F236" s="24"/>
    </row>
    <row r="237" spans="1:6" ht="15" hidden="1" customHeight="1" x14ac:dyDescent="0.25">
      <c r="A237" s="190"/>
      <c r="B237" s="149"/>
      <c r="C237" s="149"/>
      <c r="D237" s="149"/>
      <c r="E237" s="24"/>
      <c r="F237" s="24"/>
    </row>
    <row r="238" spans="1:6" ht="15" hidden="1" customHeight="1" x14ac:dyDescent="0.25">
      <c r="A238" s="190"/>
      <c r="B238" s="149"/>
      <c r="C238" s="149"/>
      <c r="D238" s="149"/>
      <c r="E238" s="24"/>
      <c r="F238" s="24"/>
    </row>
    <row r="239" spans="1:6" ht="15" hidden="1" customHeight="1" x14ac:dyDescent="0.25">
      <c r="A239" s="190"/>
      <c r="B239" s="149"/>
      <c r="C239" s="149"/>
      <c r="D239" s="149"/>
      <c r="E239" s="24"/>
      <c r="F239" s="24"/>
    </row>
    <row r="240" spans="1:6" ht="15" hidden="1" customHeight="1" x14ac:dyDescent="0.25">
      <c r="A240" s="190"/>
      <c r="B240" s="149"/>
      <c r="C240" s="149"/>
      <c r="D240" s="149"/>
      <c r="E240" s="24"/>
      <c r="F240" s="24"/>
    </row>
    <row r="241" spans="1:6" ht="15" hidden="1" customHeight="1" x14ac:dyDescent="0.25">
      <c r="A241" s="190"/>
      <c r="B241" s="149"/>
      <c r="C241" s="149"/>
      <c r="D241" s="149"/>
      <c r="E241" s="24"/>
      <c r="F241" s="24"/>
    </row>
    <row r="242" spans="1:6" ht="15" hidden="1" customHeight="1" x14ac:dyDescent="0.25">
      <c r="A242" s="190"/>
      <c r="B242" s="149"/>
      <c r="C242" s="149"/>
      <c r="D242" s="149"/>
      <c r="E242" s="24"/>
      <c r="F242" s="24"/>
    </row>
    <row r="243" spans="1:6" ht="15" hidden="1" customHeight="1" x14ac:dyDescent="0.25">
      <c r="A243" s="190"/>
      <c r="B243" s="149"/>
      <c r="C243" s="149"/>
      <c r="D243" s="149"/>
      <c r="E243" s="24"/>
      <c r="F243" s="24"/>
    </row>
    <row r="244" spans="1:6" ht="15" hidden="1" customHeight="1" x14ac:dyDescent="0.25">
      <c r="A244" s="190"/>
      <c r="B244" s="149"/>
      <c r="C244" s="149"/>
      <c r="D244" s="149"/>
      <c r="E244" s="24"/>
      <c r="F244" s="24"/>
    </row>
    <row r="245" spans="1:6" ht="15" hidden="1" customHeight="1" x14ac:dyDescent="0.25">
      <c r="A245" s="190"/>
      <c r="B245" s="149"/>
      <c r="C245" s="149"/>
      <c r="D245" s="149"/>
      <c r="E245" s="24"/>
      <c r="F245" s="24"/>
    </row>
    <row r="246" spans="1:6" ht="15" hidden="1" customHeight="1" x14ac:dyDescent="0.25">
      <c r="A246" s="190"/>
      <c r="B246" s="149"/>
      <c r="C246" s="149"/>
      <c r="D246" s="149"/>
      <c r="E246" s="24"/>
      <c r="F246" s="24"/>
    </row>
    <row r="247" spans="1:6" ht="15" hidden="1" customHeight="1" x14ac:dyDescent="0.25">
      <c r="A247" s="190"/>
      <c r="B247" s="149"/>
      <c r="C247" s="149"/>
      <c r="D247" s="149"/>
      <c r="E247" s="24"/>
      <c r="F247" s="24"/>
    </row>
    <row r="248" spans="1:6" ht="15" hidden="1" customHeight="1" x14ac:dyDescent="0.25">
      <c r="A248" s="190"/>
      <c r="B248" s="149"/>
      <c r="C248" s="149"/>
      <c r="D248" s="149"/>
      <c r="E248" s="24"/>
      <c r="F248" s="24"/>
    </row>
    <row r="249" spans="1:6" ht="15" hidden="1" customHeight="1" x14ac:dyDescent="0.25">
      <c r="A249" s="190"/>
      <c r="B249" s="149"/>
      <c r="C249" s="149"/>
      <c r="D249" s="149"/>
    </row>
    <row r="250" spans="1:6" ht="15" hidden="1" customHeight="1" x14ac:dyDescent="0.25">
      <c r="A250" s="190"/>
      <c r="B250" s="149"/>
      <c r="C250" s="149"/>
      <c r="D250" s="149"/>
    </row>
    <row r="251" spans="1:6" ht="15" hidden="1" customHeight="1" x14ac:dyDescent="0.25">
      <c r="A251" s="190"/>
      <c r="B251" s="149"/>
      <c r="C251" s="149"/>
      <c r="D251" s="149"/>
    </row>
    <row r="252" spans="1:6" ht="15" hidden="1" customHeight="1" x14ac:dyDescent="0.25">
      <c r="A252" s="190"/>
      <c r="B252" s="149"/>
      <c r="C252" s="149"/>
      <c r="D252" s="149"/>
    </row>
    <row r="253" spans="1:6" ht="15" hidden="1" customHeight="1" x14ac:dyDescent="0.25">
      <c r="A253" s="190"/>
      <c r="B253" s="149"/>
      <c r="C253" s="149"/>
      <c r="D253" s="149"/>
    </row>
    <row r="254" spans="1:6" ht="15" hidden="1" customHeight="1" x14ac:dyDescent="0.25">
      <c r="A254" s="190"/>
      <c r="B254" s="149"/>
      <c r="C254" s="149"/>
      <c r="D254" s="149"/>
    </row>
    <row r="255" spans="1:6" ht="15" hidden="1" customHeight="1" x14ac:dyDescent="0.25">
      <c r="A255" s="190"/>
      <c r="B255" s="149"/>
      <c r="C255" s="149"/>
      <c r="D255" s="149"/>
    </row>
    <row r="256" spans="1:6" ht="15" hidden="1" customHeight="1" x14ac:dyDescent="0.25">
      <c r="A256" s="190"/>
      <c r="B256" s="149"/>
      <c r="C256" s="149"/>
      <c r="D256" s="149"/>
    </row>
    <row r="257" spans="1:4" ht="15" hidden="1" customHeight="1" x14ac:dyDescent="0.25">
      <c r="A257" s="190"/>
      <c r="B257" s="149"/>
      <c r="C257" s="149"/>
      <c r="D257" s="149"/>
    </row>
    <row r="258" spans="1:4" ht="15" hidden="1" customHeight="1" x14ac:dyDescent="0.25">
      <c r="A258" s="190"/>
      <c r="B258" s="149"/>
      <c r="C258" s="149"/>
      <c r="D258" s="149"/>
    </row>
    <row r="259" spans="1:4" ht="15" hidden="1" customHeight="1" x14ac:dyDescent="0.25">
      <c r="A259" s="190"/>
      <c r="B259" s="149"/>
      <c r="C259" s="149"/>
      <c r="D259" s="149"/>
    </row>
    <row r="260" spans="1:4" ht="15" hidden="1" customHeight="1" x14ac:dyDescent="0.25">
      <c r="A260" s="190"/>
      <c r="B260" s="149"/>
      <c r="C260" s="149"/>
      <c r="D260" s="149"/>
    </row>
    <row r="261" spans="1:4" ht="15" hidden="1" customHeight="1" x14ac:dyDescent="0.25">
      <c r="A261" s="190"/>
      <c r="B261" s="149"/>
      <c r="C261" s="149"/>
      <c r="D261" s="149"/>
    </row>
    <row r="262" spans="1:4" ht="15" hidden="1" customHeight="1" x14ac:dyDescent="0.25">
      <c r="A262" s="190"/>
      <c r="B262" s="149"/>
      <c r="C262" s="149"/>
      <c r="D262" s="149"/>
    </row>
    <row r="263" spans="1:4" ht="15" hidden="1" customHeight="1" x14ac:dyDescent="0.25">
      <c r="A263" s="190"/>
      <c r="B263" s="149"/>
      <c r="C263" s="149"/>
      <c r="D263" s="149"/>
    </row>
    <row r="264" spans="1:4" ht="15" hidden="1" customHeight="1" x14ac:dyDescent="0.25">
      <c r="A264" s="190"/>
      <c r="B264" s="149"/>
      <c r="C264" s="149"/>
      <c r="D264" s="149"/>
    </row>
    <row r="265" spans="1:4" ht="15" hidden="1" customHeight="1" x14ac:dyDescent="0.25">
      <c r="A265" s="190"/>
      <c r="B265" s="149"/>
      <c r="C265" s="149"/>
      <c r="D265" s="149"/>
    </row>
    <row r="266" spans="1:4" ht="15" hidden="1" customHeight="1" x14ac:dyDescent="0.25">
      <c r="A266" s="190"/>
      <c r="B266" s="149"/>
      <c r="C266" s="149"/>
      <c r="D266" s="149"/>
    </row>
    <row r="267" spans="1:4" ht="15" hidden="1" customHeight="1" x14ac:dyDescent="0.25">
      <c r="A267" s="190"/>
      <c r="B267" s="149"/>
      <c r="C267" s="149"/>
      <c r="D267" s="149"/>
    </row>
    <row r="268" spans="1:4" ht="15" hidden="1" customHeight="1" x14ac:dyDescent="0.25">
      <c r="A268" s="190"/>
      <c r="B268" s="149"/>
      <c r="C268" s="149"/>
      <c r="D268" s="149"/>
    </row>
    <row r="269" spans="1:4" ht="15" hidden="1" customHeight="1" x14ac:dyDescent="0.25">
      <c r="A269" s="190"/>
      <c r="B269" s="149"/>
      <c r="C269" s="149"/>
      <c r="D269" s="149"/>
    </row>
    <row r="270" spans="1:4" ht="15" hidden="1" customHeight="1" x14ac:dyDescent="0.25">
      <c r="A270" s="190"/>
      <c r="B270" s="149"/>
      <c r="C270" s="149"/>
      <c r="D270" s="149"/>
    </row>
    <row r="271" spans="1:4" ht="15" hidden="1" customHeight="1" x14ac:dyDescent="0.25">
      <c r="A271" s="190"/>
      <c r="B271" s="149"/>
      <c r="C271" s="149"/>
      <c r="D271" s="149"/>
    </row>
    <row r="272" spans="1:4" ht="15" hidden="1" customHeight="1" x14ac:dyDescent="0.25">
      <c r="A272" s="190"/>
      <c r="B272" s="149"/>
      <c r="C272" s="149"/>
      <c r="D272" s="149"/>
    </row>
    <row r="273" spans="1:4" ht="15" hidden="1" customHeight="1" x14ac:dyDescent="0.25">
      <c r="A273" s="190"/>
      <c r="B273" s="149"/>
      <c r="C273" s="149"/>
      <c r="D273" s="149"/>
    </row>
    <row r="274" spans="1:4" ht="15" hidden="1" customHeight="1" x14ac:dyDescent="0.25">
      <c r="A274" s="190"/>
      <c r="B274" s="149"/>
      <c r="C274" s="149"/>
      <c r="D274" s="149"/>
    </row>
    <row r="275" spans="1:4" ht="15" hidden="1" customHeight="1" x14ac:dyDescent="0.25">
      <c r="A275" s="190"/>
      <c r="B275" s="149"/>
      <c r="C275" s="149"/>
      <c r="D275" s="149"/>
    </row>
    <row r="276" spans="1:4" ht="15" hidden="1" customHeight="1" x14ac:dyDescent="0.25">
      <c r="A276" s="190"/>
      <c r="B276" s="149"/>
      <c r="C276" s="149"/>
      <c r="D276" s="149"/>
    </row>
    <row r="277" spans="1:4" ht="15" hidden="1" customHeight="1" x14ac:dyDescent="0.25">
      <c r="A277" s="190"/>
      <c r="B277" s="149"/>
      <c r="C277" s="149"/>
      <c r="D277" s="149"/>
    </row>
    <row r="278" spans="1:4" ht="15" hidden="1" customHeight="1" x14ac:dyDescent="0.25">
      <c r="A278" s="190"/>
      <c r="B278" s="149"/>
      <c r="C278" s="149"/>
      <c r="D278" s="149"/>
    </row>
    <row r="279" spans="1:4" ht="15" hidden="1" customHeight="1" x14ac:dyDescent="0.25">
      <c r="A279" s="190"/>
      <c r="B279" s="149"/>
      <c r="C279" s="149"/>
      <c r="D279" s="149"/>
    </row>
    <row r="280" spans="1:4" ht="15" hidden="1" customHeight="1" x14ac:dyDescent="0.25">
      <c r="A280" s="190"/>
      <c r="B280" s="149"/>
      <c r="C280" s="149"/>
      <c r="D280" s="149"/>
    </row>
    <row r="281" spans="1:4" x14ac:dyDescent="0.25">
      <c r="A281" s="190"/>
      <c r="B281" s="149"/>
      <c r="C281" s="149"/>
      <c r="D281" s="158"/>
    </row>
    <row r="282" spans="1:4" hidden="1" x14ac:dyDescent="0.25">
      <c r="A282" s="190"/>
    </row>
    <row r="283" spans="1:4" hidden="1" x14ac:dyDescent="0.25"/>
  </sheetData>
  <sheetProtection sheet="1" objects="1" scenarios="1"/>
  <mergeCells count="21">
    <mergeCell ref="B28:F28"/>
    <mergeCell ref="B29:F29"/>
    <mergeCell ref="B40:F40"/>
    <mergeCell ref="B41:F41"/>
    <mergeCell ref="B74:F74"/>
    <mergeCell ref="B46:F46"/>
    <mergeCell ref="B53:F53"/>
    <mergeCell ref="B54:F54"/>
    <mergeCell ref="B69:F69"/>
    <mergeCell ref="B68:F68"/>
    <mergeCell ref="A1:F1"/>
    <mergeCell ref="B2:F2"/>
    <mergeCell ref="B3:F3"/>
    <mergeCell ref="C9:F9"/>
    <mergeCell ref="B11:F11"/>
    <mergeCell ref="A2:A282"/>
    <mergeCell ref="B81:F81"/>
    <mergeCell ref="B82:F82"/>
    <mergeCell ref="B17:F17"/>
    <mergeCell ref="B18:F18"/>
    <mergeCell ref="B23:F23"/>
  </mergeCells>
  <conditionalFormatting sqref="B2:F16 B37:D37 F36:F37 C58:F58 D59:F59 B58:B60 B72:F79 C35:C36 B69:B71 B60:F67 B28:F35 B38:F57">
    <cfRule type="expression" dxfId="117" priority="50">
      <formula>$B$2="INTRODUCTION"</formula>
    </cfRule>
  </conditionalFormatting>
  <conditionalFormatting sqref="B2:F2 B28:F28 B40:F40 B53:F53 B74:F74">
    <cfRule type="expression" dxfId="116" priority="49">
      <formula>$B$2="INTRODUCTION"</formula>
    </cfRule>
  </conditionalFormatting>
  <conditionalFormatting sqref="C77:C79 E72 E51 E38">
    <cfRule type="expression" dxfId="115" priority="48">
      <formula>$B$2="INTRODUCTION"</formula>
    </cfRule>
  </conditionalFormatting>
  <conditionalFormatting sqref="E31 E43">
    <cfRule type="expression" dxfId="114" priority="47">
      <formula>$B$2="INTRODUCTION"</formula>
    </cfRule>
  </conditionalFormatting>
  <conditionalFormatting sqref="A1:F1">
    <cfRule type="expression" dxfId="113" priority="46">
      <formula>$B$2="INTRODUCTION"</formula>
    </cfRule>
  </conditionalFormatting>
  <conditionalFormatting sqref="B33 B44">
    <cfRule type="expression" dxfId="112" priority="45">
      <formula>$B$2="INTRODUCTION"</formula>
    </cfRule>
  </conditionalFormatting>
  <conditionalFormatting sqref="B17:F22 B27:F27 B23:B26">
    <cfRule type="expression" dxfId="111" priority="44">
      <formula>$B$2="INTRODUCTION"</formula>
    </cfRule>
  </conditionalFormatting>
  <conditionalFormatting sqref="B17:F17">
    <cfRule type="expression" dxfId="110" priority="43">
      <formula>$B$2="INTRODUCTION"</formula>
    </cfRule>
  </conditionalFormatting>
  <conditionalFormatting sqref="B68:F68">
    <cfRule type="expression" dxfId="109" priority="38">
      <formula>$B$2="INTRODUCTION"</formula>
    </cfRule>
  </conditionalFormatting>
  <conditionalFormatting sqref="B68:F68">
    <cfRule type="expression" dxfId="108" priority="37">
      <formula>$B$2="INTRODUCTION"</formula>
    </cfRule>
  </conditionalFormatting>
  <conditionalFormatting sqref="E70">
    <cfRule type="expression" dxfId="107" priority="36">
      <formula>$B$2="INTRODUCTION"</formula>
    </cfRule>
  </conditionalFormatting>
  <conditionalFormatting sqref="E70">
    <cfRule type="expression" dxfId="106" priority="35">
      <formula>$B$2="INTRODUCTION"</formula>
    </cfRule>
  </conditionalFormatting>
  <conditionalFormatting sqref="C24">
    <cfRule type="expression" dxfId="105" priority="34">
      <formula>$B$2="INTRODUCTION"</formula>
    </cfRule>
  </conditionalFormatting>
  <conditionalFormatting sqref="C24">
    <cfRule type="expression" dxfId="104" priority="33">
      <formula>$B$2="INTRODUCTION"</formula>
    </cfRule>
  </conditionalFormatting>
  <conditionalFormatting sqref="C26">
    <cfRule type="expression" dxfId="103" priority="32">
      <formula>$B$2="INTRODUCTION"</formula>
    </cfRule>
  </conditionalFormatting>
  <conditionalFormatting sqref="C26">
    <cfRule type="expression" dxfId="102" priority="31">
      <formula>$B$2="INTRODUCTION"</formula>
    </cfRule>
  </conditionalFormatting>
  <conditionalFormatting sqref="C59">
    <cfRule type="expression" dxfId="101" priority="27">
      <formula>$B$2="INTRODUCTION"</formula>
    </cfRule>
  </conditionalFormatting>
  <conditionalFormatting sqref="D24:D26">
    <cfRule type="expression" dxfId="100" priority="29">
      <formula>$B$2="INTRODUCTION"</formula>
    </cfRule>
  </conditionalFormatting>
  <conditionalFormatting sqref="C25">
    <cfRule type="expression" dxfId="99" priority="28">
      <formula>$B$2="INTRODUCTION"</formula>
    </cfRule>
  </conditionalFormatting>
  <conditionalFormatting sqref="D70">
    <cfRule type="expression" dxfId="98" priority="26">
      <formula>$B$2="INTRODUCTION"</formula>
    </cfRule>
  </conditionalFormatting>
  <conditionalFormatting sqref="B81:F81">
    <cfRule type="expression" dxfId="97" priority="25">
      <formula>$B$2="INTRODUCTION"</formula>
    </cfRule>
  </conditionalFormatting>
  <conditionalFormatting sqref="B81:F81">
    <cfRule type="expression" dxfId="96" priority="24">
      <formula>$B$2="INTRODUCTION"</formula>
    </cfRule>
  </conditionalFormatting>
  <conditionalFormatting sqref="C84:C87">
    <cfRule type="expression" dxfId="95" priority="23">
      <formula>$B$2="INTRODUCTION"</formula>
    </cfRule>
  </conditionalFormatting>
  <conditionalFormatting sqref="C84:C87">
    <cfRule type="expression" dxfId="94" priority="22">
      <formula>$B$2="INTRODUCTION"</formula>
    </cfRule>
  </conditionalFormatting>
  <conditionalFormatting sqref="E84:E87">
    <cfRule type="expression" dxfId="93" priority="21">
      <formula>$B$2="INTRODUCTION"</formula>
    </cfRule>
  </conditionalFormatting>
  <conditionalFormatting sqref="E84:E87">
    <cfRule type="expression" dxfId="92" priority="20">
      <formula>$B$2="INTRODUCTION"</formula>
    </cfRule>
  </conditionalFormatting>
  <conditionalFormatting sqref="B36">
    <cfRule type="expression" dxfId="91" priority="19">
      <formula>$B$2="INTRODUCTION"</formula>
    </cfRule>
  </conditionalFormatting>
  <conditionalFormatting sqref="B82">
    <cfRule type="expression" dxfId="90" priority="14">
      <formula>$B$2="INTRODUCTION"</formula>
    </cfRule>
  </conditionalFormatting>
  <conditionalFormatting sqref="B84:B87">
    <cfRule type="expression" dxfId="89" priority="13">
      <formula>$B$2="INTRODUCTION"</formula>
    </cfRule>
  </conditionalFormatting>
  <conditionalFormatting sqref="B90:B91">
    <cfRule type="expression" dxfId="88" priority="12">
      <formula>$B$2="INTRODUCTION"</formula>
    </cfRule>
  </conditionalFormatting>
  <conditionalFormatting sqref="B93">
    <cfRule type="expression" dxfId="87" priority="11">
      <formula>$B$2="INTRODUCTION"</formula>
    </cfRule>
  </conditionalFormatting>
  <conditionalFormatting sqref="D84:D87">
    <cfRule type="expression" dxfId="86" priority="10">
      <formula>$B$2="INTRODUCTION"</formula>
    </cfRule>
  </conditionalFormatting>
  <conditionalFormatting sqref="F84:F87">
    <cfRule type="expression" dxfId="85" priority="9">
      <formula>$B$2="INTRODUCTION"</formula>
    </cfRule>
  </conditionalFormatting>
  <conditionalFormatting sqref="B92 B89 D90:D91 D93">
    <cfRule type="expression" dxfId="84" priority="8">
      <formula>$B$2="INTRODUCTION"</formula>
    </cfRule>
  </conditionalFormatting>
  <conditionalFormatting sqref="D90">
    <cfRule type="expression" dxfId="83" priority="5">
      <formula>D90="No - please revisit"</formula>
    </cfRule>
    <cfRule type="expression" dxfId="82" priority="7">
      <formula>D90="Yes"</formula>
    </cfRule>
  </conditionalFormatting>
  <conditionalFormatting sqref="D91">
    <cfRule type="expression" dxfId="81" priority="3">
      <formula>D91="No - please revisit"</formula>
    </cfRule>
    <cfRule type="expression" dxfId="80" priority="4">
      <formula>D91="Yes"</formula>
    </cfRule>
  </conditionalFormatting>
  <conditionalFormatting sqref="D93">
    <cfRule type="expression" dxfId="79" priority="1">
      <formula>D93="No - please revisit"</formula>
    </cfRule>
    <cfRule type="expression" dxfId="78" priority="2">
      <formula>D93="Yes"</formula>
    </cfRule>
  </conditionalFormatting>
  <hyperlinks>
    <hyperlink ref="B33" location="Resources!B54" display="Link to Table 6.5.3.1.1B"/>
    <hyperlink ref="B44" location="Resources!B84" display="Link to Table 10.8"/>
  </hyperlink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94"/>
  <sheetViews>
    <sheetView zoomScaleNormal="100" workbookViewId="0">
      <selection activeCell="D8" sqref="D8"/>
    </sheetView>
  </sheetViews>
  <sheetFormatPr defaultColWidth="0" defaultRowHeight="15" zeroHeight="1" x14ac:dyDescent="0.25"/>
  <cols>
    <col min="1" max="1" width="6.5703125" style="2" customWidth="1"/>
    <col min="2" max="2" width="24.140625" customWidth="1"/>
    <col min="3" max="3" width="13.85546875" customWidth="1"/>
    <col min="4" max="4" width="24.85546875" customWidth="1"/>
    <col min="5" max="5" width="14" customWidth="1"/>
    <col min="6" max="6" width="6.85546875" customWidth="1"/>
    <col min="7" max="8" width="9.140625" hidden="1" customWidth="1"/>
    <col min="9" max="9" width="22.28515625" hidden="1" customWidth="1"/>
    <col min="10" max="16384" width="9.140625" hidden="1"/>
  </cols>
  <sheetData>
    <row r="1" spans="1:6" s="81" customFormat="1" ht="21" customHeight="1" x14ac:dyDescent="0.3">
      <c r="A1" s="203" t="s">
        <v>217</v>
      </c>
      <c r="B1" s="203"/>
      <c r="C1" s="203"/>
      <c r="D1" s="203"/>
      <c r="E1" s="203"/>
      <c r="F1" s="203"/>
    </row>
    <row r="2" spans="1:6" x14ac:dyDescent="0.25">
      <c r="A2" s="190" t="s">
        <v>110</v>
      </c>
      <c r="B2" s="204" t="s">
        <v>230</v>
      </c>
      <c r="C2" s="204"/>
      <c r="D2" s="204"/>
      <c r="E2" s="204"/>
      <c r="F2" s="204"/>
    </row>
    <row r="3" spans="1:6" ht="58.5" customHeight="1" x14ac:dyDescent="0.25">
      <c r="A3" s="190"/>
      <c r="B3" s="199" t="s">
        <v>231</v>
      </c>
      <c r="C3" s="199"/>
      <c r="D3" s="199"/>
      <c r="E3" s="199"/>
      <c r="F3" s="205"/>
    </row>
    <row r="4" spans="1:6" x14ac:dyDescent="0.25">
      <c r="A4" s="190"/>
      <c r="B4" s="93"/>
      <c r="C4" s="92"/>
      <c r="D4" s="92"/>
      <c r="E4" s="92"/>
      <c r="F4" s="88"/>
    </row>
    <row r="5" spans="1:6" x14ac:dyDescent="0.25">
      <c r="A5" s="190"/>
      <c r="B5" s="200" t="s">
        <v>221</v>
      </c>
      <c r="C5" s="200"/>
      <c r="D5" s="200"/>
      <c r="E5" s="200"/>
      <c r="F5" s="200"/>
    </row>
    <row r="6" spans="1:6" ht="28.5" customHeight="1" x14ac:dyDescent="0.25">
      <c r="A6" s="190"/>
      <c r="B6" s="199" t="s">
        <v>216</v>
      </c>
      <c r="C6" s="199"/>
      <c r="D6" s="199"/>
      <c r="E6" s="199"/>
      <c r="F6" s="199"/>
    </row>
    <row r="7" spans="1:6" ht="15" customHeight="1" x14ac:dyDescent="0.25">
      <c r="A7" s="190"/>
      <c r="B7" s="139"/>
      <c r="C7" s="139"/>
      <c r="D7" s="139"/>
      <c r="E7" s="139"/>
      <c r="F7" s="139"/>
    </row>
    <row r="8" spans="1:6" ht="15" customHeight="1" x14ac:dyDescent="0.25">
      <c r="A8" s="190"/>
      <c r="B8" s="138"/>
      <c r="C8" s="184"/>
      <c r="D8" s="181" t="s">
        <v>8</v>
      </c>
      <c r="E8" s="146">
        <f>IF(LEN(C8)&gt;1,C8,C10/0.000472)</f>
        <v>0</v>
      </c>
      <c r="F8" s="138"/>
    </row>
    <row r="9" spans="1:6" x14ac:dyDescent="0.25">
      <c r="A9" s="190"/>
      <c r="B9" s="92"/>
      <c r="C9" s="152" t="s">
        <v>2</v>
      </c>
      <c r="D9" s="181"/>
      <c r="E9" s="142"/>
      <c r="F9" s="92"/>
    </row>
    <row r="10" spans="1:6" x14ac:dyDescent="0.25">
      <c r="A10" s="190"/>
      <c r="B10" s="92"/>
      <c r="C10" s="184"/>
      <c r="D10" s="182" t="s">
        <v>166</v>
      </c>
      <c r="E10" s="142"/>
      <c r="F10" s="92"/>
    </row>
    <row r="11" spans="1:6" x14ac:dyDescent="0.25">
      <c r="A11" s="190"/>
      <c r="B11" s="92"/>
      <c r="C11" s="143"/>
      <c r="D11" s="143"/>
      <c r="E11" s="142"/>
      <c r="F11" s="92"/>
    </row>
    <row r="12" spans="1:6" x14ac:dyDescent="0.25">
      <c r="A12" s="190"/>
      <c r="B12" s="200" t="s">
        <v>222</v>
      </c>
      <c r="C12" s="200"/>
      <c r="D12" s="200"/>
      <c r="E12" s="200"/>
      <c r="F12" s="200"/>
    </row>
    <row r="13" spans="1:6" ht="29.25" customHeight="1" x14ac:dyDescent="0.25">
      <c r="A13" s="190"/>
      <c r="B13" s="199" t="s">
        <v>220</v>
      </c>
      <c r="C13" s="199"/>
      <c r="D13" s="199"/>
      <c r="E13" s="199"/>
      <c r="F13" s="199"/>
    </row>
    <row r="14" spans="1:6" x14ac:dyDescent="0.25">
      <c r="A14" s="190"/>
      <c r="B14" s="138"/>
      <c r="C14" s="138"/>
      <c r="D14" s="138"/>
      <c r="E14" s="138"/>
      <c r="F14" s="138"/>
    </row>
    <row r="15" spans="1:6" x14ac:dyDescent="0.25">
      <c r="A15" s="190"/>
      <c r="B15" s="94"/>
      <c r="C15" s="184"/>
      <c r="D15" s="181" t="s">
        <v>8</v>
      </c>
      <c r="E15" s="146">
        <f>IF(LEN(C15)&gt;1,C15,C17/0.000472)</f>
        <v>0</v>
      </c>
      <c r="F15" s="94"/>
    </row>
    <row r="16" spans="1:6" x14ac:dyDescent="0.25">
      <c r="A16" s="190"/>
      <c r="B16" s="94"/>
      <c r="C16" s="152" t="s">
        <v>2</v>
      </c>
      <c r="D16" s="181"/>
      <c r="E16" s="142"/>
      <c r="F16" s="94"/>
    </row>
    <row r="17" spans="1:6" x14ac:dyDescent="0.25">
      <c r="A17" s="190"/>
      <c r="B17" s="94"/>
      <c r="C17" s="184"/>
      <c r="D17" s="182" t="s">
        <v>226</v>
      </c>
      <c r="E17" s="142"/>
      <c r="F17" s="94"/>
    </row>
    <row r="18" spans="1:6" x14ac:dyDescent="0.25">
      <c r="A18" s="190"/>
      <c r="B18" s="91"/>
      <c r="C18" s="92"/>
      <c r="D18" s="92"/>
      <c r="E18" s="92"/>
      <c r="F18" s="92"/>
    </row>
    <row r="19" spans="1:6" x14ac:dyDescent="0.25">
      <c r="A19" s="190"/>
      <c r="B19" s="200" t="s">
        <v>223</v>
      </c>
      <c r="C19" s="200"/>
      <c r="D19" s="200"/>
      <c r="E19" s="200"/>
      <c r="F19" s="200"/>
    </row>
    <row r="20" spans="1:6" ht="29.25" customHeight="1" x14ac:dyDescent="0.25">
      <c r="A20" s="190"/>
      <c r="B20" s="199" t="s">
        <v>219</v>
      </c>
      <c r="C20" s="199"/>
      <c r="D20" s="199"/>
      <c r="E20" s="199"/>
      <c r="F20" s="199"/>
    </row>
    <row r="21" spans="1:6" x14ac:dyDescent="0.25">
      <c r="A21" s="190"/>
      <c r="B21" s="138"/>
      <c r="C21" s="138"/>
      <c r="D21" s="138"/>
      <c r="E21" s="138"/>
      <c r="F21" s="138"/>
    </row>
    <row r="22" spans="1:6" x14ac:dyDescent="0.25">
      <c r="A22" s="190"/>
      <c r="B22" s="94"/>
      <c r="C22" s="184"/>
      <c r="D22" s="181" t="s">
        <v>1</v>
      </c>
      <c r="E22" s="146">
        <f>IF(LEN(C22)&gt;0,C22*249.088908333,C24)</f>
        <v>0</v>
      </c>
      <c r="F22" s="94"/>
    </row>
    <row r="23" spans="1:6" x14ac:dyDescent="0.25">
      <c r="A23" s="190"/>
      <c r="B23" s="94"/>
      <c r="C23" s="152" t="s">
        <v>2</v>
      </c>
      <c r="D23" s="181"/>
      <c r="E23" s="142"/>
      <c r="F23" s="94"/>
    </row>
    <row r="24" spans="1:6" x14ac:dyDescent="0.25">
      <c r="A24" s="190"/>
      <c r="B24" s="94"/>
      <c r="C24" s="184"/>
      <c r="D24" s="182" t="s">
        <v>0</v>
      </c>
      <c r="E24" s="142"/>
      <c r="F24" s="94"/>
    </row>
    <row r="25" spans="1:6" x14ac:dyDescent="0.25">
      <c r="A25" s="190"/>
      <c r="B25" s="91"/>
      <c r="C25" s="92"/>
      <c r="D25" s="92"/>
      <c r="E25" s="92"/>
      <c r="F25" s="92"/>
    </row>
    <row r="26" spans="1:6" x14ac:dyDescent="0.25">
      <c r="A26" s="190"/>
      <c r="B26" s="200" t="s">
        <v>224</v>
      </c>
      <c r="C26" s="200"/>
      <c r="D26" s="200"/>
      <c r="E26" s="200"/>
      <c r="F26" s="200"/>
    </row>
    <row r="27" spans="1:6" ht="20.25" customHeight="1" x14ac:dyDescent="0.25">
      <c r="A27" s="190"/>
      <c r="B27" s="199" t="s">
        <v>218</v>
      </c>
      <c r="C27" s="199"/>
      <c r="D27" s="199"/>
      <c r="E27" s="199"/>
      <c r="F27" s="199"/>
    </row>
    <row r="28" spans="1:6" x14ac:dyDescent="0.25">
      <c r="A28" s="190"/>
      <c r="B28" s="138"/>
      <c r="C28" s="138"/>
      <c r="D28" s="138"/>
      <c r="E28" s="138"/>
      <c r="F28" s="138"/>
    </row>
    <row r="29" spans="1:6" x14ac:dyDescent="0.25">
      <c r="A29" s="190"/>
      <c r="B29" s="94"/>
      <c r="C29" s="184"/>
      <c r="D29" s="181" t="s">
        <v>170</v>
      </c>
      <c r="E29" s="146">
        <f>IF(LEN(C29)&gt;0,C29*0.00134102209,C31)</f>
        <v>0</v>
      </c>
      <c r="F29" s="94"/>
    </row>
    <row r="30" spans="1:6" x14ac:dyDescent="0.25">
      <c r="A30" s="190"/>
      <c r="B30" s="94"/>
      <c r="C30" s="152" t="s">
        <v>2</v>
      </c>
      <c r="D30" s="181"/>
      <c r="E30" s="142"/>
      <c r="F30" s="94"/>
    </row>
    <row r="31" spans="1:6" x14ac:dyDescent="0.25">
      <c r="A31" s="190"/>
      <c r="B31" s="94"/>
      <c r="C31" s="184"/>
      <c r="D31" s="182" t="s">
        <v>212</v>
      </c>
      <c r="E31" s="142"/>
      <c r="F31" s="94"/>
    </row>
    <row r="32" spans="1:6" x14ac:dyDescent="0.25">
      <c r="A32" s="190"/>
      <c r="B32" s="91"/>
      <c r="C32" s="92"/>
      <c r="D32" s="96"/>
      <c r="E32" s="92"/>
      <c r="F32" s="92"/>
    </row>
    <row r="33" spans="1:6" x14ac:dyDescent="0.25">
      <c r="A33" s="190"/>
      <c r="B33" s="200" t="s">
        <v>241</v>
      </c>
      <c r="C33" s="200"/>
      <c r="D33" s="200"/>
      <c r="E33" s="200"/>
      <c r="F33" s="200"/>
    </row>
    <row r="34" spans="1:6" ht="18.75" customHeight="1" x14ac:dyDescent="0.25">
      <c r="A34" s="190"/>
      <c r="B34" s="199" t="s">
        <v>239</v>
      </c>
      <c r="C34" s="199"/>
      <c r="D34" s="199"/>
      <c r="E34" s="199"/>
      <c r="F34" s="199"/>
    </row>
    <row r="35" spans="1:6" x14ac:dyDescent="0.25">
      <c r="A35" s="190"/>
      <c r="B35" s="138"/>
      <c r="C35" s="138"/>
      <c r="D35" s="138"/>
      <c r="E35" s="138"/>
      <c r="F35" s="138"/>
    </row>
    <row r="36" spans="1:6" x14ac:dyDescent="0.25">
      <c r="A36" s="190"/>
      <c r="C36" s="185"/>
      <c r="D36" s="168" t="s">
        <v>240</v>
      </c>
      <c r="F36" s="92"/>
    </row>
    <row r="37" spans="1:6" x14ac:dyDescent="0.25">
      <c r="A37" s="190"/>
      <c r="B37" s="95"/>
      <c r="F37" s="92"/>
    </row>
    <row r="38" spans="1:6" ht="15" customHeight="1" x14ac:dyDescent="0.25">
      <c r="A38" s="190"/>
      <c r="B38" s="200" t="s">
        <v>242</v>
      </c>
      <c r="C38" s="200"/>
      <c r="D38" s="200"/>
      <c r="E38" s="200"/>
      <c r="F38" s="200"/>
    </row>
    <row r="39" spans="1:6" x14ac:dyDescent="0.25">
      <c r="A39" s="190"/>
      <c r="B39" s="199" t="s">
        <v>232</v>
      </c>
      <c r="C39" s="199"/>
      <c r="D39" s="199"/>
      <c r="E39" s="199"/>
      <c r="F39" s="199"/>
    </row>
    <row r="40" spans="1:6" ht="15.75" x14ac:dyDescent="0.3">
      <c r="A40" s="190"/>
      <c r="B40" s="91" t="s">
        <v>205</v>
      </c>
      <c r="C40" s="92"/>
      <c r="D40" s="92" t="str">
        <f>"(1)"</f>
        <v>(1)</v>
      </c>
    </row>
    <row r="41" spans="1:6" x14ac:dyDescent="0.25">
      <c r="A41" s="190"/>
      <c r="B41" s="91"/>
      <c r="C41" s="92"/>
    </row>
    <row r="42" spans="1:6" x14ac:dyDescent="0.25">
      <c r="A42" s="190"/>
      <c r="B42" s="91" t="str">
        <f>CONCATENATE("ntot = (.000472*", E8, " * ", E22,")/", E29)</f>
        <v>ntot = (.000472*0 * 0)/0</v>
      </c>
      <c r="C42" s="92"/>
      <c r="D42" s="92"/>
      <c r="E42" s="97" t="e">
        <f>(0.000472*E8*E22)/(E29/0.00134102209)</f>
        <v>#DIV/0!</v>
      </c>
      <c r="F42" s="96" t="s">
        <v>225</v>
      </c>
    </row>
    <row r="43" spans="1:6" x14ac:dyDescent="0.25">
      <c r="A43" s="190"/>
      <c r="B43" s="91"/>
      <c r="C43" s="92"/>
      <c r="D43" s="92"/>
    </row>
    <row r="44" spans="1:6" x14ac:dyDescent="0.25">
      <c r="A44" s="190"/>
      <c r="B44" s="200" t="s">
        <v>120</v>
      </c>
      <c r="C44" s="200"/>
      <c r="D44" s="200"/>
      <c r="E44" s="200"/>
      <c r="F44" s="200"/>
    </row>
    <row r="45" spans="1:6" ht="15" customHeight="1" x14ac:dyDescent="0.25">
      <c r="A45" s="190"/>
      <c r="B45" s="151"/>
      <c r="C45" s="151"/>
      <c r="D45" s="151"/>
      <c r="E45" s="151"/>
      <c r="F45" s="151"/>
    </row>
    <row r="46" spans="1:6" x14ac:dyDescent="0.25">
      <c r="A46" s="190"/>
      <c r="B46" s="168" t="s">
        <v>245</v>
      </c>
      <c r="C46" s="170"/>
      <c r="D46" s="170"/>
      <c r="E46" s="151"/>
      <c r="F46" s="151"/>
    </row>
    <row r="47" spans="1:6" ht="15.75" thickBot="1" x14ac:dyDescent="0.3">
      <c r="A47" s="190"/>
      <c r="B47" s="168"/>
      <c r="C47" s="170"/>
      <c r="D47" s="170"/>
      <c r="E47" s="151"/>
      <c r="F47" s="151"/>
    </row>
    <row r="48" spans="1:6" x14ac:dyDescent="0.25">
      <c r="A48" s="190"/>
      <c r="B48" s="144"/>
      <c r="C48" s="179">
        <f>E8*0.000472</f>
        <v>0</v>
      </c>
      <c r="D48" s="128" t="s">
        <v>213</v>
      </c>
      <c r="E48" s="129"/>
      <c r="F48" s="151"/>
    </row>
    <row r="49" spans="1:6" x14ac:dyDescent="0.25">
      <c r="A49" s="190"/>
      <c r="B49" s="144"/>
      <c r="C49" s="180">
        <f>E8*0.000472</f>
        <v>0</v>
      </c>
      <c r="D49" s="121" t="s">
        <v>214</v>
      </c>
      <c r="E49" s="131"/>
      <c r="F49" s="151"/>
    </row>
    <row r="50" spans="1:6" x14ac:dyDescent="0.25">
      <c r="A50" s="190"/>
      <c r="B50" s="144"/>
      <c r="C50" s="172" t="s">
        <v>227</v>
      </c>
      <c r="D50" s="121"/>
      <c r="E50" s="131"/>
      <c r="F50" s="151"/>
    </row>
    <row r="51" spans="1:6" x14ac:dyDescent="0.25">
      <c r="A51" s="190"/>
      <c r="B51" s="144"/>
      <c r="C51" s="180" t="e">
        <f>E42</f>
        <v>#DIV/0!</v>
      </c>
      <c r="D51" s="121" t="s">
        <v>4</v>
      </c>
      <c r="E51" s="131"/>
      <c r="F51" s="151"/>
    </row>
    <row r="52" spans="1:6" x14ac:dyDescent="0.25">
      <c r="A52" s="190"/>
      <c r="B52" s="144"/>
      <c r="C52" s="180">
        <f>E22</f>
        <v>0</v>
      </c>
      <c r="D52" s="121" t="s">
        <v>5</v>
      </c>
      <c r="E52" s="131"/>
      <c r="F52" s="151"/>
    </row>
    <row r="53" spans="1:6" x14ac:dyDescent="0.25">
      <c r="A53" s="190"/>
      <c r="B53" s="144"/>
      <c r="C53" s="180">
        <f>C36</f>
        <v>0</v>
      </c>
      <c r="D53" s="121" t="s">
        <v>6</v>
      </c>
      <c r="E53" s="131"/>
      <c r="F53" s="151"/>
    </row>
    <row r="54" spans="1:6" ht="15.75" thickBot="1" x14ac:dyDescent="0.3">
      <c r="A54" s="190"/>
      <c r="B54" s="144"/>
      <c r="C54" s="183">
        <f>E15*0.000472</f>
        <v>0</v>
      </c>
      <c r="D54" s="133" t="s">
        <v>215</v>
      </c>
      <c r="E54" s="134"/>
      <c r="F54" s="151"/>
    </row>
    <row r="55" spans="1:6" x14ac:dyDescent="0.25">
      <c r="A55" s="190"/>
      <c r="B55" s="151"/>
      <c r="C55" s="151"/>
      <c r="D55" s="151"/>
      <c r="E55" s="151"/>
      <c r="F55" s="151"/>
    </row>
    <row r="56" spans="1:6" hidden="1" x14ac:dyDescent="0.25">
      <c r="A56" s="190"/>
      <c r="B56" s="166"/>
      <c r="C56" s="166"/>
      <c r="D56" s="166"/>
      <c r="E56" s="166"/>
      <c r="F56" s="166"/>
    </row>
    <row r="57" spans="1:6" ht="28.5" hidden="1" customHeight="1" x14ac:dyDescent="0.25">
      <c r="A57" s="190"/>
      <c r="B57" s="166"/>
      <c r="C57" s="166"/>
      <c r="D57" s="166"/>
      <c r="E57" s="166"/>
      <c r="F57" s="166"/>
    </row>
    <row r="58" spans="1:6" hidden="1" x14ac:dyDescent="0.25">
      <c r="A58" s="190"/>
      <c r="B58" s="150"/>
      <c r="C58" s="150"/>
      <c r="D58" s="150"/>
      <c r="E58" s="150"/>
      <c r="F58" s="150"/>
    </row>
    <row r="59" spans="1:6" hidden="1" x14ac:dyDescent="0.25">
      <c r="A59" s="190"/>
      <c r="B59" s="150"/>
      <c r="C59" s="150"/>
      <c r="D59" s="150"/>
      <c r="E59" s="150"/>
      <c r="F59" s="150"/>
    </row>
    <row r="60" spans="1:6" hidden="1" x14ac:dyDescent="0.25">
      <c r="A60" s="190"/>
      <c r="B60" s="113"/>
      <c r="C60" s="118"/>
      <c r="D60" s="121"/>
      <c r="E60" s="118"/>
      <c r="F60" s="102"/>
    </row>
    <row r="61" spans="1:6" hidden="1" x14ac:dyDescent="0.25">
      <c r="A61" s="190"/>
      <c r="B61" s="113"/>
      <c r="C61" s="118"/>
      <c r="D61" s="121"/>
      <c r="E61" s="118"/>
      <c r="F61" s="177"/>
    </row>
    <row r="62" spans="1:6" hidden="1" x14ac:dyDescent="0.25">
      <c r="A62" s="190"/>
      <c r="B62" s="113"/>
      <c r="C62" s="118"/>
      <c r="D62" s="121"/>
      <c r="E62" s="118"/>
      <c r="F62" s="121"/>
    </row>
    <row r="63" spans="1:6" hidden="1" x14ac:dyDescent="0.25">
      <c r="A63" s="190"/>
      <c r="B63" s="113"/>
      <c r="C63" s="118"/>
      <c r="D63" s="121"/>
      <c r="E63" s="118"/>
      <c r="F63" s="121"/>
    </row>
    <row r="64" spans="1:6" hidden="1" x14ac:dyDescent="0.25">
      <c r="A64" s="190"/>
      <c r="B64" s="7"/>
      <c r="C64" s="7"/>
      <c r="D64" s="151"/>
      <c r="E64" s="7"/>
      <c r="F64" s="7"/>
    </row>
    <row r="65" spans="1:6" hidden="1" x14ac:dyDescent="0.25">
      <c r="A65" s="190"/>
      <c r="B65" s="168"/>
      <c r="C65" s="173"/>
      <c r="D65" s="153"/>
      <c r="E65" s="160"/>
      <c r="F65" s="160"/>
    </row>
    <row r="66" spans="1:6" hidden="1" x14ac:dyDescent="0.25">
      <c r="A66" s="190"/>
      <c r="B66" s="140"/>
      <c r="C66" s="174"/>
      <c r="D66" s="118"/>
      <c r="E66" s="159"/>
      <c r="F66" s="159"/>
    </row>
    <row r="67" spans="1:6" hidden="1" x14ac:dyDescent="0.25">
      <c r="A67" s="190"/>
      <c r="B67" s="140"/>
      <c r="C67" s="151"/>
      <c r="D67" s="118"/>
      <c r="E67" s="161"/>
      <c r="F67" s="159"/>
    </row>
    <row r="68" spans="1:6" hidden="1" x14ac:dyDescent="0.25">
      <c r="A68" s="190"/>
      <c r="B68" s="168"/>
      <c r="C68" s="151"/>
      <c r="D68" s="153"/>
      <c r="E68" s="161"/>
      <c r="F68" s="162"/>
    </row>
    <row r="69" spans="1:6" hidden="1" x14ac:dyDescent="0.25">
      <c r="A69" s="190"/>
      <c r="B69" s="140"/>
      <c r="C69" s="151"/>
      <c r="D69" s="118"/>
      <c r="E69" s="159"/>
      <c r="F69" s="159"/>
    </row>
    <row r="70" spans="1:6" hidden="1" x14ac:dyDescent="0.25">
      <c r="A70" s="190"/>
      <c r="B70" s="151"/>
      <c r="C70" s="151"/>
      <c r="D70" s="175"/>
      <c r="E70" s="7"/>
      <c r="F70" s="7"/>
    </row>
    <row r="71" spans="1:6" hidden="1" x14ac:dyDescent="0.25">
      <c r="A71" s="190"/>
      <c r="B71" s="92"/>
      <c r="C71" s="92"/>
      <c r="D71" s="92"/>
      <c r="E71" s="92"/>
      <c r="F71" s="88"/>
    </row>
    <row r="72" spans="1:6" hidden="1" x14ac:dyDescent="0.25">
      <c r="A72" s="190"/>
      <c r="B72" s="92" t="s">
        <v>93</v>
      </c>
      <c r="C72" s="97">
        <v>0.85</v>
      </c>
      <c r="D72" s="96" t="s">
        <v>94</v>
      </c>
      <c r="E72" s="92"/>
      <c r="F72" s="88"/>
    </row>
    <row r="73" spans="1:6" hidden="1" x14ac:dyDescent="0.25">
      <c r="A73" s="190"/>
      <c r="B73" s="92"/>
      <c r="C73" s="96" t="s">
        <v>2</v>
      </c>
      <c r="D73" s="92"/>
      <c r="E73" s="92"/>
      <c r="F73" s="88"/>
    </row>
    <row r="74" spans="1:6" hidden="1" x14ac:dyDescent="0.25">
      <c r="A74" s="190"/>
      <c r="B74" s="92"/>
      <c r="C74" s="96"/>
      <c r="D74" s="96" t="s">
        <v>130</v>
      </c>
      <c r="E74" s="92"/>
      <c r="F74" s="88"/>
    </row>
    <row r="75" spans="1:6" hidden="1" x14ac:dyDescent="0.25">
      <c r="A75" s="190"/>
      <c r="B75" s="92"/>
      <c r="C75" s="92"/>
      <c r="D75" s="92"/>
      <c r="E75" s="92"/>
      <c r="F75" s="88"/>
    </row>
    <row r="76" spans="1:6" hidden="1" x14ac:dyDescent="0.25">
      <c r="A76" s="190"/>
      <c r="B76" s="98" t="s">
        <v>119</v>
      </c>
      <c r="C76" s="99">
        <f>IF(C72&gt;0, C72*0.3, C74)</f>
        <v>0.255</v>
      </c>
      <c r="D76" s="92"/>
      <c r="E76" s="92"/>
      <c r="F76" s="88"/>
    </row>
    <row r="77" spans="1:6" hidden="1" x14ac:dyDescent="0.25">
      <c r="A77" s="190"/>
      <c r="B77" s="98" t="s">
        <v>147</v>
      </c>
      <c r="C77" s="99">
        <f>IF(C72&gt;0, C72, C74/0.3)</f>
        <v>0.85</v>
      </c>
      <c r="D77" s="92"/>
      <c r="E77" s="92"/>
      <c r="F77" s="88"/>
    </row>
    <row r="78" spans="1:6" hidden="1" x14ac:dyDescent="0.25">
      <c r="A78" s="190"/>
      <c r="B78" s="89"/>
      <c r="C78" s="89"/>
      <c r="D78" s="89"/>
      <c r="E78" s="89"/>
      <c r="F78" s="89"/>
    </row>
    <row r="79" spans="1:6" hidden="1" x14ac:dyDescent="0.25">
      <c r="A79" s="190"/>
      <c r="B79" s="200" t="s">
        <v>120</v>
      </c>
      <c r="C79" s="200"/>
      <c r="D79" s="200"/>
      <c r="E79" s="200"/>
      <c r="F79" s="200"/>
    </row>
    <row r="80" spans="1:6" hidden="1" x14ac:dyDescent="0.25">
      <c r="A80" s="190"/>
      <c r="B80" s="88"/>
      <c r="C80" s="88"/>
      <c r="D80" s="88"/>
      <c r="E80" s="88"/>
      <c r="F80" s="88"/>
    </row>
    <row r="81" spans="1:6" hidden="1" x14ac:dyDescent="0.25">
      <c r="A81" s="190"/>
      <c r="B81" s="102" t="s">
        <v>126</v>
      </c>
      <c r="C81" s="102"/>
      <c r="D81" s="102"/>
      <c r="E81" s="92"/>
      <c r="F81" s="88"/>
    </row>
    <row r="82" spans="1:6" hidden="1" x14ac:dyDescent="0.25">
      <c r="A82" s="190"/>
      <c r="B82" s="94"/>
      <c r="C82" s="103">
        <f>C77</f>
        <v>0.85</v>
      </c>
      <c r="D82" s="104" t="s">
        <v>4</v>
      </c>
      <c r="E82" s="105"/>
      <c r="F82" s="88"/>
    </row>
    <row r="83" spans="1:6" hidden="1" x14ac:dyDescent="0.25">
      <c r="A83" s="190"/>
      <c r="B83" s="94"/>
      <c r="C83" s="106">
        <f>C76</f>
        <v>0.255</v>
      </c>
      <c r="D83" s="102" t="s">
        <v>5</v>
      </c>
      <c r="E83" s="107"/>
      <c r="F83" s="88"/>
    </row>
    <row r="84" spans="1:6" ht="15.75" hidden="1" thickBot="1" x14ac:dyDescent="0.3">
      <c r="A84" s="190"/>
      <c r="B84" s="94"/>
      <c r="C84" s="108" t="e">
        <f>#REF!</f>
        <v>#REF!</v>
      </c>
      <c r="D84" s="109" t="s">
        <v>6</v>
      </c>
      <c r="E84" s="110"/>
      <c r="F84" s="88"/>
    </row>
    <row r="85" spans="1:6" hidden="1" x14ac:dyDescent="0.25">
      <c r="A85" s="190"/>
      <c r="B85" s="111"/>
      <c r="C85" s="111"/>
      <c r="D85" s="111"/>
      <c r="E85" s="111"/>
      <c r="F85" s="82"/>
    </row>
    <row r="86" spans="1:6" hidden="1" x14ac:dyDescent="0.25">
      <c r="A86" s="190"/>
      <c r="B86" s="111"/>
      <c r="C86" s="111"/>
      <c r="D86" s="111"/>
      <c r="E86" s="111"/>
      <c r="F86" s="82"/>
    </row>
    <row r="87" spans="1:6" hidden="1" x14ac:dyDescent="0.25">
      <c r="A87" s="190"/>
      <c r="B87" s="111"/>
      <c r="C87" s="111"/>
      <c r="D87" s="111"/>
      <c r="E87" s="111"/>
      <c r="F87" s="82"/>
    </row>
    <row r="88" spans="1:6" hidden="1" x14ac:dyDescent="0.25">
      <c r="A88" s="190"/>
      <c r="B88" s="82"/>
      <c r="C88" s="82"/>
      <c r="D88" s="82"/>
      <c r="E88" s="82"/>
      <c r="F88" s="82"/>
    </row>
    <row r="89" spans="1:6" hidden="1" x14ac:dyDescent="0.25">
      <c r="A89" s="190"/>
      <c r="B89" s="24"/>
      <c r="C89" s="24"/>
      <c r="D89" s="24"/>
      <c r="E89" s="24"/>
      <c r="F89" s="24"/>
    </row>
    <row r="90" spans="1:6" hidden="1" x14ac:dyDescent="0.25">
      <c r="A90" s="190"/>
      <c r="B90" s="24"/>
      <c r="C90" s="24"/>
      <c r="D90" s="24"/>
      <c r="E90" s="24"/>
      <c r="F90" s="24"/>
    </row>
    <row r="91" spans="1:6" hidden="1" x14ac:dyDescent="0.25">
      <c r="A91" s="190"/>
      <c r="B91" s="24"/>
      <c r="C91" s="24"/>
      <c r="D91" s="24"/>
      <c r="E91" s="24"/>
      <c r="F91" s="24"/>
    </row>
    <row r="92" spans="1:6" hidden="1" x14ac:dyDescent="0.25">
      <c r="A92" s="190"/>
      <c r="B92" s="24"/>
      <c r="C92" s="24"/>
      <c r="D92" s="24"/>
      <c r="E92" s="24"/>
      <c r="F92" s="24"/>
    </row>
    <row r="93" spans="1:6" hidden="1" x14ac:dyDescent="0.25">
      <c r="A93" s="190"/>
      <c r="B93" s="24"/>
      <c r="C93" s="24"/>
      <c r="D93" s="24"/>
      <c r="E93" s="24"/>
      <c r="F93" s="24"/>
    </row>
    <row r="94" spans="1:6" hidden="1" x14ac:dyDescent="0.25">
      <c r="A94" s="190"/>
      <c r="B94" s="24"/>
      <c r="C94" s="24"/>
      <c r="D94" s="24"/>
      <c r="E94" s="24"/>
      <c r="F94" s="24"/>
    </row>
    <row r="95" spans="1:6" hidden="1" x14ac:dyDescent="0.25">
      <c r="A95" s="190"/>
      <c r="B95" s="24"/>
      <c r="C95" s="24"/>
      <c r="D95" s="24"/>
      <c r="E95" s="24"/>
      <c r="F95" s="24"/>
    </row>
    <row r="96" spans="1:6" hidden="1" x14ac:dyDescent="0.25">
      <c r="A96" s="190"/>
      <c r="B96" s="24"/>
      <c r="C96" s="24"/>
      <c r="D96" s="24"/>
      <c r="E96" s="24"/>
      <c r="F96" s="24"/>
    </row>
    <row r="97" spans="1:6" hidden="1" x14ac:dyDescent="0.25">
      <c r="A97" s="190"/>
      <c r="B97" s="24"/>
      <c r="C97" s="24"/>
      <c r="D97" s="24"/>
      <c r="E97" s="24"/>
      <c r="F97" s="24"/>
    </row>
    <row r="98" spans="1:6" hidden="1" x14ac:dyDescent="0.25">
      <c r="A98" s="190"/>
      <c r="B98" s="24"/>
      <c r="C98" s="24"/>
      <c r="D98" s="24"/>
      <c r="E98" s="24"/>
      <c r="F98" s="24"/>
    </row>
    <row r="99" spans="1:6" hidden="1" x14ac:dyDescent="0.25">
      <c r="A99" s="190"/>
      <c r="B99" s="24"/>
      <c r="C99" s="24"/>
      <c r="D99" s="24"/>
      <c r="E99" s="24"/>
      <c r="F99" s="24"/>
    </row>
    <row r="100" spans="1:6" hidden="1" x14ac:dyDescent="0.25">
      <c r="A100" s="190"/>
      <c r="B100" s="24"/>
      <c r="C100" s="24"/>
      <c r="D100" s="24"/>
      <c r="E100" s="24"/>
      <c r="F100" s="24"/>
    </row>
    <row r="101" spans="1:6" hidden="1" x14ac:dyDescent="0.25">
      <c r="A101" s="190"/>
      <c r="B101" s="24"/>
      <c r="C101" s="24"/>
      <c r="D101" s="24"/>
      <c r="E101" s="24"/>
      <c r="F101" s="24"/>
    </row>
    <row r="102" spans="1:6" hidden="1" x14ac:dyDescent="0.25">
      <c r="A102" s="190"/>
      <c r="B102" s="24"/>
      <c r="C102" s="24"/>
      <c r="D102" s="24"/>
      <c r="E102" s="24"/>
      <c r="F102" s="24"/>
    </row>
    <row r="103" spans="1:6" hidden="1" x14ac:dyDescent="0.25">
      <c r="A103" s="190"/>
      <c r="B103" s="24"/>
      <c r="C103" s="24"/>
      <c r="D103" s="24"/>
      <c r="E103" s="24"/>
      <c r="F103" s="24"/>
    </row>
    <row r="104" spans="1:6" hidden="1" x14ac:dyDescent="0.25">
      <c r="A104" s="190"/>
      <c r="B104" s="24"/>
      <c r="C104" s="24"/>
      <c r="D104" s="24"/>
      <c r="E104" s="24"/>
      <c r="F104" s="24"/>
    </row>
    <row r="105" spans="1:6" hidden="1" x14ac:dyDescent="0.25">
      <c r="A105" s="190"/>
      <c r="B105" s="24"/>
      <c r="C105" s="24"/>
      <c r="D105" s="24"/>
      <c r="E105" s="24"/>
      <c r="F105" s="24"/>
    </row>
    <row r="106" spans="1:6" hidden="1" x14ac:dyDescent="0.25">
      <c r="A106" s="190"/>
      <c r="B106" s="24"/>
      <c r="C106" s="24"/>
      <c r="D106" s="24"/>
      <c r="E106" s="24"/>
      <c r="F106" s="24"/>
    </row>
    <row r="107" spans="1:6" hidden="1" x14ac:dyDescent="0.25">
      <c r="A107" s="190"/>
      <c r="B107" s="24"/>
      <c r="C107" s="24"/>
      <c r="D107" s="24"/>
      <c r="E107" s="24"/>
      <c r="F107" s="24"/>
    </row>
    <row r="108" spans="1:6" hidden="1" x14ac:dyDescent="0.25">
      <c r="A108" s="190"/>
      <c r="B108" s="24"/>
      <c r="C108" s="24"/>
      <c r="D108" s="24"/>
      <c r="E108" s="24"/>
      <c r="F108" s="24"/>
    </row>
    <row r="109" spans="1:6" hidden="1" x14ac:dyDescent="0.25">
      <c r="A109" s="190"/>
      <c r="B109" s="24"/>
      <c r="C109" s="24"/>
      <c r="D109" s="24"/>
      <c r="E109" s="24"/>
      <c r="F109" s="24"/>
    </row>
    <row r="110" spans="1:6" hidden="1" x14ac:dyDescent="0.25">
      <c r="A110" s="190"/>
      <c r="B110" s="24"/>
      <c r="C110" s="24"/>
      <c r="D110" s="24"/>
      <c r="E110" s="24"/>
      <c r="F110" s="24"/>
    </row>
    <row r="111" spans="1:6" hidden="1" x14ac:dyDescent="0.25">
      <c r="A111" s="190"/>
      <c r="B111" s="24"/>
      <c r="C111" s="24"/>
      <c r="D111" s="24"/>
      <c r="E111" s="24"/>
      <c r="F111" s="24"/>
    </row>
    <row r="112" spans="1:6" hidden="1" x14ac:dyDescent="0.25">
      <c r="A112" s="190"/>
      <c r="B112" s="24"/>
      <c r="C112" s="24"/>
      <c r="D112" s="24"/>
      <c r="E112" s="24"/>
      <c r="F112" s="24"/>
    </row>
    <row r="113" spans="1:6" hidden="1" x14ac:dyDescent="0.25">
      <c r="A113" s="190"/>
      <c r="B113" s="24"/>
      <c r="C113" s="24"/>
      <c r="D113" s="24"/>
      <c r="E113" s="24"/>
      <c r="F113" s="24"/>
    </row>
    <row r="114" spans="1:6" hidden="1" x14ac:dyDescent="0.25">
      <c r="A114" s="190"/>
      <c r="B114" s="24"/>
      <c r="C114" s="24"/>
      <c r="D114" s="24"/>
      <c r="E114" s="24"/>
      <c r="F114" s="24"/>
    </row>
    <row r="115" spans="1:6" hidden="1" x14ac:dyDescent="0.25">
      <c r="A115" s="190"/>
      <c r="B115" s="24"/>
      <c r="C115" s="24"/>
      <c r="D115" s="24"/>
      <c r="E115" s="24"/>
      <c r="F115" s="24"/>
    </row>
    <row r="116" spans="1:6" hidden="1" x14ac:dyDescent="0.25">
      <c r="A116" s="190"/>
      <c r="B116" s="24"/>
      <c r="C116" s="24"/>
      <c r="D116" s="24"/>
      <c r="E116" s="24"/>
      <c r="F116" s="24"/>
    </row>
    <row r="117" spans="1:6" hidden="1" x14ac:dyDescent="0.25">
      <c r="A117" s="190"/>
      <c r="B117" s="24"/>
      <c r="C117" s="24"/>
      <c r="D117" s="24"/>
      <c r="E117" s="24"/>
      <c r="F117" s="24"/>
    </row>
    <row r="118" spans="1:6" hidden="1" x14ac:dyDescent="0.25">
      <c r="A118" s="190"/>
      <c r="B118" s="24"/>
      <c r="C118" s="24"/>
      <c r="D118" s="24"/>
      <c r="E118" s="24"/>
      <c r="F118" s="24"/>
    </row>
    <row r="119" spans="1:6" hidden="1" x14ac:dyDescent="0.25">
      <c r="A119" s="190"/>
      <c r="B119" s="24"/>
      <c r="C119" s="24"/>
      <c r="D119" s="24"/>
      <c r="E119" s="24"/>
      <c r="F119" s="24"/>
    </row>
    <row r="120" spans="1:6" hidden="1" x14ac:dyDescent="0.25">
      <c r="A120" s="190"/>
      <c r="B120" s="24"/>
      <c r="C120" s="24"/>
      <c r="D120" s="24"/>
      <c r="E120" s="24"/>
      <c r="F120" s="24"/>
    </row>
    <row r="121" spans="1:6" hidden="1" x14ac:dyDescent="0.25">
      <c r="A121" s="190"/>
      <c r="B121" s="24"/>
      <c r="C121" s="24"/>
      <c r="D121" s="24"/>
      <c r="E121" s="24"/>
      <c r="F121" s="24"/>
    </row>
    <row r="122" spans="1:6" hidden="1" x14ac:dyDescent="0.25">
      <c r="A122" s="190"/>
      <c r="B122" s="24"/>
      <c r="C122" s="24"/>
      <c r="D122" s="24"/>
      <c r="E122" s="24"/>
      <c r="F122" s="24"/>
    </row>
    <row r="123" spans="1:6" hidden="1" x14ac:dyDescent="0.25">
      <c r="A123" s="190"/>
      <c r="B123" s="24"/>
      <c r="C123" s="24"/>
      <c r="D123" s="24"/>
      <c r="E123" s="24"/>
      <c r="F123" s="24"/>
    </row>
    <row r="124" spans="1:6" hidden="1" x14ac:dyDescent="0.25">
      <c r="A124" s="190"/>
      <c r="B124" s="24"/>
      <c r="C124" s="24"/>
      <c r="D124" s="24"/>
      <c r="E124" s="24"/>
      <c r="F124" s="24"/>
    </row>
    <row r="125" spans="1:6" hidden="1" x14ac:dyDescent="0.25">
      <c r="A125" s="190"/>
      <c r="B125" s="24"/>
      <c r="C125" s="24"/>
      <c r="D125" s="24"/>
      <c r="E125" s="24"/>
      <c r="F125" s="24"/>
    </row>
    <row r="126" spans="1:6" hidden="1" x14ac:dyDescent="0.25">
      <c r="A126" s="190"/>
      <c r="B126" s="24"/>
      <c r="C126" s="24"/>
      <c r="D126" s="24"/>
      <c r="E126" s="24"/>
      <c r="F126" s="24"/>
    </row>
    <row r="127" spans="1:6" hidden="1" x14ac:dyDescent="0.25">
      <c r="A127" s="190"/>
      <c r="B127" s="24"/>
      <c r="C127" s="24"/>
      <c r="D127" s="24"/>
      <c r="E127" s="24"/>
      <c r="F127" s="24"/>
    </row>
    <row r="128" spans="1:6" hidden="1" x14ac:dyDescent="0.25">
      <c r="A128" s="190"/>
      <c r="B128" s="24"/>
      <c r="C128" s="24"/>
      <c r="D128" s="24"/>
      <c r="E128" s="24"/>
      <c r="F128" s="24"/>
    </row>
    <row r="129" spans="1:6" hidden="1" x14ac:dyDescent="0.25">
      <c r="A129" s="190"/>
      <c r="B129" s="24"/>
      <c r="C129" s="24"/>
      <c r="D129" s="24"/>
      <c r="E129" s="24"/>
      <c r="F129" s="24"/>
    </row>
    <row r="130" spans="1:6" hidden="1" x14ac:dyDescent="0.25">
      <c r="A130" s="190"/>
      <c r="B130" s="24"/>
      <c r="C130" s="24"/>
      <c r="D130" s="24"/>
      <c r="E130" s="24"/>
      <c r="F130" s="24"/>
    </row>
    <row r="131" spans="1:6" hidden="1" x14ac:dyDescent="0.25">
      <c r="A131" s="190"/>
      <c r="B131" s="24"/>
      <c r="C131" s="24"/>
      <c r="D131" s="24"/>
      <c r="E131" s="24"/>
      <c r="F131" s="24"/>
    </row>
    <row r="132" spans="1:6" hidden="1" x14ac:dyDescent="0.25">
      <c r="A132" s="190"/>
      <c r="B132" s="24"/>
      <c r="C132" s="24"/>
      <c r="D132" s="24"/>
      <c r="E132" s="24"/>
      <c r="F132" s="24"/>
    </row>
    <row r="133" spans="1:6" hidden="1" x14ac:dyDescent="0.25">
      <c r="A133" s="190"/>
      <c r="B133" s="24"/>
      <c r="C133" s="24"/>
      <c r="D133" s="24"/>
      <c r="E133" s="24"/>
      <c r="F133" s="24"/>
    </row>
    <row r="134" spans="1:6" hidden="1" x14ac:dyDescent="0.25">
      <c r="A134" s="190"/>
      <c r="B134" s="24"/>
      <c r="C134" s="24"/>
      <c r="D134" s="24"/>
      <c r="E134" s="24"/>
      <c r="F134" s="24"/>
    </row>
    <row r="135" spans="1:6" hidden="1" x14ac:dyDescent="0.25">
      <c r="A135" s="190"/>
      <c r="B135" s="24"/>
      <c r="C135" s="24"/>
      <c r="D135" s="24"/>
      <c r="E135" s="24"/>
      <c r="F135" s="24"/>
    </row>
    <row r="136" spans="1:6" hidden="1" x14ac:dyDescent="0.25">
      <c r="A136" s="190"/>
      <c r="B136" s="24"/>
      <c r="C136" s="24"/>
      <c r="D136" s="24"/>
      <c r="E136" s="24"/>
      <c r="F136" s="24"/>
    </row>
    <row r="137" spans="1:6" hidden="1" x14ac:dyDescent="0.25">
      <c r="A137" s="190"/>
      <c r="B137" s="24"/>
      <c r="C137" s="24"/>
      <c r="D137" s="24"/>
      <c r="E137" s="24"/>
      <c r="F137" s="24"/>
    </row>
    <row r="138" spans="1:6" hidden="1" x14ac:dyDescent="0.25">
      <c r="A138" s="190"/>
      <c r="B138" s="24"/>
      <c r="C138" s="24"/>
      <c r="D138" s="24"/>
      <c r="E138" s="24"/>
      <c r="F138" s="24"/>
    </row>
    <row r="139" spans="1:6" hidden="1" x14ac:dyDescent="0.25">
      <c r="A139" s="190"/>
      <c r="B139" s="24"/>
      <c r="C139" s="24"/>
      <c r="D139" s="24"/>
      <c r="E139" s="24"/>
      <c r="F139" s="24"/>
    </row>
    <row r="140" spans="1:6" hidden="1" x14ac:dyDescent="0.25">
      <c r="A140" s="190"/>
      <c r="B140" s="24"/>
      <c r="C140" s="24"/>
      <c r="D140" s="24"/>
      <c r="E140" s="24"/>
      <c r="F140" s="24"/>
    </row>
    <row r="141" spans="1:6" hidden="1" x14ac:dyDescent="0.25">
      <c r="A141" s="190"/>
      <c r="B141" s="24"/>
      <c r="C141" s="24"/>
      <c r="D141" s="24"/>
      <c r="E141" s="24"/>
      <c r="F141" s="24"/>
    </row>
    <row r="142" spans="1:6" hidden="1" x14ac:dyDescent="0.25">
      <c r="A142" s="190"/>
      <c r="B142" s="24"/>
      <c r="C142" s="24"/>
      <c r="D142" s="24"/>
      <c r="E142" s="24"/>
      <c r="F142" s="24"/>
    </row>
    <row r="143" spans="1:6" hidden="1" x14ac:dyDescent="0.25">
      <c r="A143" s="190"/>
      <c r="B143" s="24"/>
      <c r="C143" s="24"/>
      <c r="D143" s="24"/>
      <c r="E143" s="24"/>
      <c r="F143" s="24"/>
    </row>
    <row r="144" spans="1:6" hidden="1" x14ac:dyDescent="0.25">
      <c r="A144" s="190"/>
      <c r="B144" s="24"/>
      <c r="C144" s="24"/>
      <c r="D144" s="24"/>
      <c r="E144" s="24"/>
      <c r="F144" s="24"/>
    </row>
    <row r="145" spans="1:6" hidden="1" x14ac:dyDescent="0.25">
      <c r="A145" s="190"/>
      <c r="B145" s="24"/>
      <c r="C145" s="24"/>
      <c r="D145" s="24"/>
      <c r="E145" s="24"/>
      <c r="F145" s="24"/>
    </row>
    <row r="146" spans="1:6" hidden="1" x14ac:dyDescent="0.25">
      <c r="A146" s="190"/>
      <c r="B146" s="24"/>
      <c r="C146" s="24"/>
      <c r="D146" s="24"/>
      <c r="E146" s="24"/>
      <c r="F146" s="24"/>
    </row>
    <row r="147" spans="1:6" hidden="1" x14ac:dyDescent="0.25">
      <c r="A147" s="190"/>
      <c r="B147" s="24"/>
      <c r="C147" s="24"/>
      <c r="D147" s="24"/>
      <c r="E147" s="24"/>
      <c r="F147" s="24"/>
    </row>
    <row r="148" spans="1:6" hidden="1" x14ac:dyDescent="0.25">
      <c r="A148" s="190"/>
      <c r="B148" s="24"/>
      <c r="C148" s="24"/>
      <c r="D148" s="24"/>
      <c r="E148" s="24"/>
      <c r="F148" s="24"/>
    </row>
    <row r="149" spans="1:6" hidden="1" x14ac:dyDescent="0.25">
      <c r="A149" s="190"/>
      <c r="B149" s="24"/>
      <c r="C149" s="24"/>
      <c r="D149" s="24"/>
      <c r="E149" s="24"/>
      <c r="F149" s="24"/>
    </row>
    <row r="150" spans="1:6" hidden="1" x14ac:dyDescent="0.25">
      <c r="A150" s="190"/>
      <c r="B150" s="24"/>
      <c r="C150" s="24"/>
      <c r="D150" s="24"/>
      <c r="E150" s="24"/>
      <c r="F150" s="24"/>
    </row>
    <row r="151" spans="1:6" hidden="1" x14ac:dyDescent="0.25">
      <c r="A151" s="190"/>
      <c r="B151" s="24"/>
      <c r="C151" s="24"/>
      <c r="D151" s="24"/>
      <c r="E151" s="24"/>
      <c r="F151" s="24"/>
    </row>
    <row r="152" spans="1:6" hidden="1" x14ac:dyDescent="0.25">
      <c r="A152" s="190"/>
      <c r="B152" s="24"/>
      <c r="C152" s="24"/>
      <c r="D152" s="24"/>
      <c r="E152" s="24"/>
      <c r="F152" s="24"/>
    </row>
    <row r="153" spans="1:6" hidden="1" x14ac:dyDescent="0.25">
      <c r="A153" s="190"/>
      <c r="B153" s="24"/>
      <c r="C153" s="24"/>
      <c r="D153" s="24"/>
      <c r="E153" s="24"/>
      <c r="F153" s="24"/>
    </row>
    <row r="154" spans="1:6" hidden="1" x14ac:dyDescent="0.25">
      <c r="A154" s="190"/>
      <c r="B154" s="24"/>
      <c r="C154" s="24"/>
      <c r="D154" s="24"/>
      <c r="E154" s="24"/>
      <c r="F154" s="24"/>
    </row>
    <row r="155" spans="1:6" hidden="1" x14ac:dyDescent="0.25">
      <c r="A155" s="190"/>
      <c r="B155" s="24"/>
      <c r="C155" s="24"/>
      <c r="D155" s="24"/>
      <c r="E155" s="24"/>
      <c r="F155" s="24"/>
    </row>
    <row r="156" spans="1:6" hidden="1" x14ac:dyDescent="0.25">
      <c r="A156" s="190"/>
      <c r="B156" s="24"/>
      <c r="C156" s="24"/>
      <c r="D156" s="24"/>
      <c r="E156" s="24"/>
      <c r="F156" s="24"/>
    </row>
    <row r="157" spans="1:6" hidden="1" x14ac:dyDescent="0.25">
      <c r="A157" s="190"/>
      <c r="B157" s="24"/>
      <c r="C157" s="24"/>
      <c r="D157" s="24"/>
      <c r="E157" s="24"/>
      <c r="F157" s="24"/>
    </row>
    <row r="158" spans="1:6" hidden="1" x14ac:dyDescent="0.25">
      <c r="A158" s="190"/>
      <c r="B158" s="24"/>
      <c r="C158" s="24"/>
      <c r="D158" s="24"/>
      <c r="E158" s="24"/>
      <c r="F158" s="24"/>
    </row>
    <row r="159" spans="1:6" hidden="1" x14ac:dyDescent="0.25">
      <c r="A159" s="190"/>
      <c r="B159" s="24"/>
      <c r="C159" s="24"/>
      <c r="D159" s="24"/>
      <c r="E159" s="24"/>
      <c r="F159" s="24"/>
    </row>
    <row r="160" spans="1:6" hidden="1" x14ac:dyDescent="0.25">
      <c r="A160" s="190"/>
      <c r="B160" s="24"/>
      <c r="C160" s="24"/>
      <c r="D160" s="24"/>
      <c r="E160" s="24"/>
      <c r="F160" s="24"/>
    </row>
    <row r="161" spans="1:6" hidden="1" x14ac:dyDescent="0.25">
      <c r="A161" s="190"/>
      <c r="B161" s="24"/>
      <c r="C161" s="24"/>
      <c r="D161" s="24"/>
      <c r="E161" s="24"/>
      <c r="F161" s="24"/>
    </row>
    <row r="162" spans="1:6" hidden="1" x14ac:dyDescent="0.25">
      <c r="A162" s="190"/>
      <c r="B162" s="24"/>
      <c r="C162" s="24"/>
      <c r="D162" s="24"/>
      <c r="E162" s="24"/>
      <c r="F162" s="24"/>
    </row>
    <row r="163" spans="1:6" hidden="1" x14ac:dyDescent="0.25">
      <c r="A163" s="190"/>
      <c r="B163" s="24"/>
      <c r="C163" s="24"/>
      <c r="D163" s="24"/>
      <c r="E163" s="24"/>
      <c r="F163" s="24"/>
    </row>
    <row r="164" spans="1:6" hidden="1" x14ac:dyDescent="0.25">
      <c r="A164" s="190"/>
      <c r="B164" s="24"/>
      <c r="C164" s="24"/>
      <c r="D164" s="24"/>
      <c r="E164" s="24"/>
      <c r="F164" s="24"/>
    </row>
    <row r="165" spans="1:6" hidden="1" x14ac:dyDescent="0.25">
      <c r="A165" s="190"/>
      <c r="B165" s="24"/>
      <c r="C165" s="24"/>
      <c r="D165" s="24"/>
      <c r="E165" s="24"/>
      <c r="F165" s="24"/>
    </row>
    <row r="166" spans="1:6" hidden="1" x14ac:dyDescent="0.25">
      <c r="A166" s="190"/>
      <c r="B166" s="24"/>
      <c r="C166" s="24"/>
      <c r="D166" s="24"/>
      <c r="E166" s="24"/>
      <c r="F166" s="24"/>
    </row>
    <row r="167" spans="1:6" hidden="1" x14ac:dyDescent="0.25">
      <c r="A167" s="190"/>
      <c r="B167" s="24"/>
      <c r="C167" s="24"/>
      <c r="D167" s="24"/>
      <c r="E167" s="24"/>
      <c r="F167" s="24"/>
    </row>
    <row r="168" spans="1:6" hidden="1" x14ac:dyDescent="0.25">
      <c r="A168" s="190"/>
      <c r="B168" s="24"/>
      <c r="C168" s="24"/>
      <c r="D168" s="24"/>
      <c r="E168" s="24"/>
      <c r="F168" s="24"/>
    </row>
    <row r="169" spans="1:6" hidden="1" x14ac:dyDescent="0.25">
      <c r="A169" s="190"/>
      <c r="B169" s="24"/>
      <c r="C169" s="24"/>
      <c r="D169" s="24"/>
      <c r="E169" s="24"/>
      <c r="F169" s="24"/>
    </row>
    <row r="170" spans="1:6" hidden="1" x14ac:dyDescent="0.25">
      <c r="A170" s="190"/>
      <c r="B170" s="24"/>
      <c r="C170" s="24"/>
      <c r="D170" s="24"/>
      <c r="E170" s="24"/>
      <c r="F170" s="24"/>
    </row>
    <row r="171" spans="1:6" hidden="1" x14ac:dyDescent="0.25">
      <c r="A171" s="190"/>
      <c r="B171" s="24"/>
      <c r="C171" s="24"/>
      <c r="D171" s="24"/>
      <c r="E171" s="24"/>
      <c r="F171" s="24"/>
    </row>
    <row r="172" spans="1:6" hidden="1" x14ac:dyDescent="0.25">
      <c r="A172" s="190"/>
      <c r="B172" s="24"/>
      <c r="C172" s="24"/>
      <c r="D172" s="24"/>
      <c r="E172" s="24"/>
      <c r="F172" s="24"/>
    </row>
    <row r="173" spans="1:6" hidden="1" x14ac:dyDescent="0.25">
      <c r="A173" s="190"/>
      <c r="B173" s="24"/>
      <c r="C173" s="24"/>
      <c r="D173" s="24"/>
      <c r="E173" s="24"/>
      <c r="F173" s="24"/>
    </row>
    <row r="174" spans="1:6" hidden="1" x14ac:dyDescent="0.25">
      <c r="A174" s="190"/>
      <c r="B174" s="24"/>
      <c r="C174" s="24"/>
      <c r="D174" s="24"/>
      <c r="E174" s="24"/>
      <c r="F174" s="24"/>
    </row>
    <row r="175" spans="1:6" hidden="1" x14ac:dyDescent="0.25">
      <c r="A175" s="190"/>
      <c r="B175" s="24"/>
      <c r="C175" s="24"/>
      <c r="D175" s="24"/>
      <c r="E175" s="24"/>
      <c r="F175" s="24"/>
    </row>
    <row r="176" spans="1:6" hidden="1" x14ac:dyDescent="0.25">
      <c r="A176" s="190"/>
      <c r="B176" s="24"/>
      <c r="C176" s="24"/>
      <c r="D176" s="24"/>
      <c r="E176" s="24"/>
      <c r="F176" s="24"/>
    </row>
    <row r="177" spans="1:6" hidden="1" x14ac:dyDescent="0.25">
      <c r="A177" s="190"/>
      <c r="B177" s="24"/>
      <c r="C177" s="24"/>
      <c r="D177" s="24"/>
      <c r="E177" s="24"/>
      <c r="F177" s="24"/>
    </row>
    <row r="178" spans="1:6" hidden="1" x14ac:dyDescent="0.25">
      <c r="A178" s="190"/>
      <c r="B178" s="24"/>
      <c r="C178" s="24"/>
      <c r="D178" s="24"/>
      <c r="E178" s="24"/>
      <c r="F178" s="24"/>
    </row>
    <row r="179" spans="1:6" hidden="1" x14ac:dyDescent="0.25">
      <c r="A179" s="190"/>
      <c r="B179" s="24"/>
      <c r="C179" s="24"/>
      <c r="D179" s="24"/>
      <c r="E179" s="24"/>
      <c r="F179" s="24"/>
    </row>
    <row r="180" spans="1:6" hidden="1" x14ac:dyDescent="0.25">
      <c r="A180" s="190"/>
      <c r="B180" s="24"/>
      <c r="C180" s="24"/>
      <c r="D180" s="24"/>
      <c r="E180" s="24"/>
      <c r="F180" s="24"/>
    </row>
    <row r="181" spans="1:6" hidden="1" x14ac:dyDescent="0.25">
      <c r="A181" s="190"/>
      <c r="B181" s="24"/>
      <c r="C181" s="24"/>
      <c r="D181" s="24"/>
      <c r="E181" s="24"/>
      <c r="F181" s="24"/>
    </row>
    <row r="182" spans="1:6" hidden="1" x14ac:dyDescent="0.25">
      <c r="A182" s="190"/>
      <c r="B182" s="24"/>
      <c r="C182" s="24"/>
      <c r="D182" s="24"/>
      <c r="E182" s="24"/>
      <c r="F182" s="24"/>
    </row>
    <row r="183" spans="1:6" hidden="1" x14ac:dyDescent="0.25">
      <c r="A183" s="190"/>
      <c r="B183" s="24"/>
      <c r="C183" s="24"/>
      <c r="D183" s="24"/>
      <c r="E183" s="24"/>
      <c r="F183" s="24"/>
    </row>
    <row r="184" spans="1:6" hidden="1" x14ac:dyDescent="0.25">
      <c r="A184" s="190"/>
      <c r="B184" s="24"/>
      <c r="C184" s="24"/>
      <c r="D184" s="24"/>
      <c r="E184" s="24"/>
      <c r="F184" s="24"/>
    </row>
    <row r="185" spans="1:6" hidden="1" x14ac:dyDescent="0.25">
      <c r="A185" s="190"/>
      <c r="B185" s="24"/>
      <c r="C185" s="24"/>
      <c r="D185" s="24"/>
      <c r="E185" s="24"/>
      <c r="F185" s="24"/>
    </row>
    <row r="186" spans="1:6" hidden="1" x14ac:dyDescent="0.25">
      <c r="A186" s="190"/>
      <c r="B186" s="24"/>
      <c r="C186" s="24"/>
      <c r="D186" s="24"/>
      <c r="E186" s="24"/>
      <c r="F186" s="24"/>
    </row>
    <row r="187" spans="1:6" hidden="1" x14ac:dyDescent="0.25">
      <c r="A187" s="190"/>
      <c r="B187" s="24"/>
      <c r="C187" s="24"/>
      <c r="D187" s="24"/>
      <c r="E187" s="24"/>
      <c r="F187" s="24"/>
    </row>
    <row r="188" spans="1:6" hidden="1" x14ac:dyDescent="0.25">
      <c r="A188" s="190"/>
      <c r="B188" s="24"/>
      <c r="C188" s="24"/>
      <c r="D188" s="24"/>
      <c r="E188" s="24"/>
      <c r="F188" s="24"/>
    </row>
    <row r="189" spans="1:6" hidden="1" x14ac:dyDescent="0.25">
      <c r="A189" s="190"/>
      <c r="B189" s="24"/>
      <c r="C189" s="24"/>
      <c r="D189" s="24"/>
      <c r="E189" s="24"/>
      <c r="F189" s="24"/>
    </row>
    <row r="190" spans="1:6" hidden="1" x14ac:dyDescent="0.25">
      <c r="A190" s="190"/>
      <c r="B190" s="24"/>
      <c r="C190" s="24"/>
      <c r="D190" s="24"/>
      <c r="E190" s="24"/>
      <c r="F190" s="24"/>
    </row>
    <row r="191" spans="1:6" hidden="1" x14ac:dyDescent="0.25">
      <c r="A191" s="190"/>
      <c r="B191" s="24"/>
      <c r="C191" s="24"/>
      <c r="D191" s="24"/>
      <c r="E191" s="24"/>
      <c r="F191" s="24"/>
    </row>
    <row r="192" spans="1:6" hidden="1" x14ac:dyDescent="0.25">
      <c r="A192" s="190"/>
      <c r="B192" s="24"/>
      <c r="C192" s="24"/>
      <c r="D192" s="24"/>
      <c r="E192" s="24"/>
      <c r="F192" s="24"/>
    </row>
    <row r="193" spans="1:6" hidden="1" x14ac:dyDescent="0.25">
      <c r="A193" s="190"/>
      <c r="B193" s="24"/>
      <c r="C193" s="24"/>
      <c r="D193" s="24"/>
      <c r="E193" s="24"/>
      <c r="F193" s="24"/>
    </row>
    <row r="194" spans="1:6" hidden="1" x14ac:dyDescent="0.25">
      <c r="A194" s="190"/>
      <c r="B194" s="24"/>
      <c r="C194" s="24"/>
      <c r="D194" s="24"/>
      <c r="E194" s="24"/>
      <c r="F194" s="24"/>
    </row>
    <row r="195" spans="1:6" hidden="1" x14ac:dyDescent="0.25">
      <c r="A195" s="190"/>
      <c r="B195" s="24"/>
      <c r="C195" s="24"/>
      <c r="D195" s="24"/>
      <c r="E195" s="24"/>
      <c r="F195" s="24"/>
    </row>
    <row r="196" spans="1:6" hidden="1" x14ac:dyDescent="0.25">
      <c r="B196" s="24"/>
      <c r="C196" s="24"/>
      <c r="D196" s="24"/>
      <c r="E196" s="24"/>
      <c r="F196" s="24"/>
    </row>
    <row r="197" spans="1:6" hidden="1" x14ac:dyDescent="0.25">
      <c r="B197" s="24"/>
      <c r="C197" s="24"/>
      <c r="D197" s="24"/>
      <c r="E197" s="24"/>
      <c r="F197" s="24"/>
    </row>
    <row r="198" spans="1:6" hidden="1" x14ac:dyDescent="0.25">
      <c r="B198" s="24"/>
      <c r="C198" s="24"/>
      <c r="D198" s="24"/>
      <c r="E198" s="24"/>
      <c r="F198" s="24"/>
    </row>
    <row r="199" spans="1:6" hidden="1" x14ac:dyDescent="0.25">
      <c r="B199" s="24"/>
      <c r="C199" s="24"/>
      <c r="D199" s="24"/>
      <c r="E199" s="24"/>
      <c r="F199" s="24"/>
    </row>
    <row r="200" spans="1:6" hidden="1" x14ac:dyDescent="0.25">
      <c r="B200" s="24"/>
      <c r="C200" s="24"/>
      <c r="D200" s="24"/>
      <c r="E200" s="24"/>
      <c r="F200" s="24"/>
    </row>
    <row r="201" spans="1:6" hidden="1" x14ac:dyDescent="0.25">
      <c r="B201" s="24"/>
      <c r="C201" s="24"/>
      <c r="D201" s="24"/>
      <c r="E201" s="24"/>
      <c r="F201" s="24"/>
    </row>
    <row r="202" spans="1:6" hidden="1" x14ac:dyDescent="0.25">
      <c r="B202" s="24"/>
      <c r="C202" s="24"/>
      <c r="D202" s="24"/>
      <c r="E202" s="24"/>
      <c r="F202" s="24"/>
    </row>
    <row r="203" spans="1:6" hidden="1" x14ac:dyDescent="0.25">
      <c r="B203" s="24"/>
      <c r="C203" s="24"/>
      <c r="D203" s="24"/>
      <c r="E203" s="24"/>
      <c r="F203" s="24"/>
    </row>
    <row r="204" spans="1:6" hidden="1" x14ac:dyDescent="0.25">
      <c r="B204" s="24"/>
      <c r="C204" s="24"/>
      <c r="D204" s="24"/>
      <c r="E204" s="24"/>
      <c r="F204" s="24"/>
    </row>
    <row r="205" spans="1:6" hidden="1" x14ac:dyDescent="0.25">
      <c r="B205" s="24"/>
      <c r="C205" s="24"/>
      <c r="D205" s="24"/>
      <c r="E205" s="24"/>
      <c r="F205" s="24"/>
    </row>
    <row r="206" spans="1:6" hidden="1" x14ac:dyDescent="0.25">
      <c r="B206" s="24"/>
      <c r="C206" s="24"/>
      <c r="D206" s="24"/>
      <c r="E206" s="24"/>
      <c r="F206" s="24"/>
    </row>
    <row r="207" spans="1:6" hidden="1" x14ac:dyDescent="0.25">
      <c r="B207" s="24"/>
      <c r="C207" s="24"/>
      <c r="D207" s="24"/>
      <c r="E207" s="24"/>
      <c r="F207" s="24"/>
    </row>
    <row r="208" spans="1:6" hidden="1" x14ac:dyDescent="0.25">
      <c r="B208" s="24"/>
      <c r="C208" s="24"/>
      <c r="D208" s="24"/>
      <c r="E208" s="24"/>
      <c r="F208" s="24"/>
    </row>
    <row r="209" spans="2:6" hidden="1" x14ac:dyDescent="0.25">
      <c r="B209" s="24"/>
      <c r="C209" s="24"/>
      <c r="D209" s="24"/>
      <c r="E209" s="24"/>
      <c r="F209" s="24"/>
    </row>
    <row r="210" spans="2:6" hidden="1" x14ac:dyDescent="0.25">
      <c r="B210" s="24"/>
      <c r="C210" s="24"/>
      <c r="D210" s="24"/>
      <c r="E210" s="24"/>
      <c r="F210" s="24"/>
    </row>
    <row r="211" spans="2:6" hidden="1" x14ac:dyDescent="0.25">
      <c r="B211" s="24"/>
      <c r="C211" s="24"/>
      <c r="D211" s="24"/>
      <c r="E211" s="24"/>
      <c r="F211" s="24"/>
    </row>
    <row r="212" spans="2:6" hidden="1" x14ac:dyDescent="0.25">
      <c r="B212" s="24"/>
      <c r="C212" s="24"/>
      <c r="D212" s="24"/>
      <c r="E212" s="24"/>
      <c r="F212" s="24"/>
    </row>
    <row r="213" spans="2:6" hidden="1" x14ac:dyDescent="0.25">
      <c r="B213" s="24"/>
      <c r="C213" s="24"/>
      <c r="D213" s="24"/>
      <c r="E213" s="24"/>
      <c r="F213" s="24"/>
    </row>
    <row r="214" spans="2:6" hidden="1" x14ac:dyDescent="0.25">
      <c r="B214" s="24"/>
      <c r="C214" s="24"/>
      <c r="D214" s="24"/>
      <c r="E214" s="24"/>
      <c r="F214" s="24"/>
    </row>
    <row r="215" spans="2:6" hidden="1" x14ac:dyDescent="0.25">
      <c r="B215" s="24"/>
      <c r="C215" s="24"/>
      <c r="D215" s="24"/>
      <c r="E215" s="24"/>
      <c r="F215" s="24"/>
    </row>
    <row r="216" spans="2:6" hidden="1" x14ac:dyDescent="0.25">
      <c r="B216" s="24"/>
      <c r="C216" s="24"/>
      <c r="D216" s="24"/>
      <c r="E216" s="24"/>
      <c r="F216" s="24"/>
    </row>
    <row r="217" spans="2:6" hidden="1" x14ac:dyDescent="0.25">
      <c r="B217" s="24"/>
      <c r="C217" s="24"/>
      <c r="D217" s="24"/>
      <c r="E217" s="24"/>
      <c r="F217" s="24"/>
    </row>
    <row r="218" spans="2:6" hidden="1" x14ac:dyDescent="0.25">
      <c r="B218" s="24"/>
      <c r="C218" s="24"/>
      <c r="D218" s="24"/>
      <c r="E218" s="24"/>
      <c r="F218" s="24"/>
    </row>
    <row r="219" spans="2:6" hidden="1" x14ac:dyDescent="0.25">
      <c r="B219" s="24"/>
      <c r="C219" s="24"/>
      <c r="D219" s="24"/>
      <c r="E219" s="24"/>
      <c r="F219" s="24"/>
    </row>
    <row r="220" spans="2:6" hidden="1" x14ac:dyDescent="0.25">
      <c r="B220" s="24"/>
      <c r="C220" s="24"/>
      <c r="D220" s="24"/>
      <c r="E220" s="24"/>
      <c r="F220" s="24"/>
    </row>
    <row r="221" spans="2:6" hidden="1" x14ac:dyDescent="0.25">
      <c r="B221" s="24"/>
      <c r="C221" s="24"/>
      <c r="D221" s="24"/>
      <c r="E221" s="24"/>
      <c r="F221" s="24"/>
    </row>
    <row r="222" spans="2:6" hidden="1" x14ac:dyDescent="0.25">
      <c r="B222" s="24"/>
      <c r="C222" s="24"/>
      <c r="D222" s="24"/>
      <c r="E222" s="24"/>
      <c r="F222" s="24"/>
    </row>
    <row r="223" spans="2:6" hidden="1" x14ac:dyDescent="0.25">
      <c r="B223" s="24"/>
      <c r="C223" s="24"/>
      <c r="D223" s="24"/>
      <c r="E223" s="24"/>
      <c r="F223" s="24"/>
    </row>
    <row r="224" spans="2:6" hidden="1" x14ac:dyDescent="0.25">
      <c r="B224" s="24"/>
      <c r="C224" s="24"/>
      <c r="D224" s="24"/>
      <c r="E224" s="24"/>
      <c r="F224" s="24"/>
    </row>
    <row r="225" spans="2:6" hidden="1" x14ac:dyDescent="0.25">
      <c r="B225" s="24"/>
      <c r="C225" s="24"/>
      <c r="D225" s="24"/>
      <c r="E225" s="24"/>
      <c r="F225" s="24"/>
    </row>
    <row r="226" spans="2:6" hidden="1" x14ac:dyDescent="0.25">
      <c r="B226" s="24"/>
      <c r="C226" s="24"/>
      <c r="D226" s="24"/>
      <c r="E226" s="24"/>
      <c r="F226" s="24"/>
    </row>
    <row r="227" spans="2:6" hidden="1" x14ac:dyDescent="0.25">
      <c r="B227" s="24"/>
      <c r="C227" s="24"/>
      <c r="D227" s="24"/>
      <c r="E227" s="24"/>
      <c r="F227" s="24"/>
    </row>
    <row r="228" spans="2:6" hidden="1" x14ac:dyDescent="0.25">
      <c r="B228" s="24"/>
      <c r="C228" s="24"/>
      <c r="D228" s="24"/>
      <c r="E228" s="24"/>
      <c r="F228" s="24"/>
    </row>
    <row r="229" spans="2:6" hidden="1" x14ac:dyDescent="0.25">
      <c r="B229" s="24"/>
      <c r="C229" s="24"/>
      <c r="D229" s="24"/>
      <c r="E229" s="24"/>
      <c r="F229" s="24"/>
    </row>
    <row r="230" spans="2:6" hidden="1" x14ac:dyDescent="0.25">
      <c r="B230" s="24"/>
      <c r="C230" s="24"/>
      <c r="D230" s="24"/>
      <c r="E230" s="24"/>
      <c r="F230" s="24"/>
    </row>
    <row r="231" spans="2:6" hidden="1" x14ac:dyDescent="0.25">
      <c r="B231" s="24"/>
      <c r="C231" s="24"/>
      <c r="D231" s="24"/>
      <c r="E231" s="24"/>
      <c r="F231" s="24"/>
    </row>
    <row r="232" spans="2:6" hidden="1" x14ac:dyDescent="0.25">
      <c r="B232" s="24"/>
      <c r="C232" s="24"/>
      <c r="D232" s="24"/>
      <c r="E232" s="24"/>
      <c r="F232" s="24"/>
    </row>
    <row r="233" spans="2:6" hidden="1" x14ac:dyDescent="0.25">
      <c r="B233" s="24"/>
      <c r="C233" s="24"/>
      <c r="D233" s="24"/>
      <c r="E233" s="24"/>
      <c r="F233" s="24"/>
    </row>
    <row r="234" spans="2:6" hidden="1" x14ac:dyDescent="0.25">
      <c r="B234" s="24"/>
      <c r="C234" s="24"/>
      <c r="D234" s="24"/>
      <c r="E234" s="24"/>
      <c r="F234" s="24"/>
    </row>
    <row r="235" spans="2:6" hidden="1" x14ac:dyDescent="0.25">
      <c r="B235" s="24"/>
      <c r="C235" s="24"/>
      <c r="D235" s="24"/>
      <c r="E235" s="24"/>
      <c r="F235" s="24"/>
    </row>
    <row r="236" spans="2:6" hidden="1" x14ac:dyDescent="0.25">
      <c r="B236" s="24"/>
      <c r="C236" s="24"/>
      <c r="D236" s="24"/>
      <c r="E236" s="24"/>
      <c r="F236" s="24"/>
    </row>
    <row r="237" spans="2:6" hidden="1" x14ac:dyDescent="0.25">
      <c r="B237" s="24"/>
      <c r="C237" s="24"/>
      <c r="D237" s="24"/>
      <c r="E237" s="24"/>
      <c r="F237" s="24"/>
    </row>
    <row r="238" spans="2:6" hidden="1" x14ac:dyDescent="0.25">
      <c r="B238" s="24"/>
      <c r="C238" s="24"/>
      <c r="D238" s="24"/>
      <c r="E238" s="24"/>
      <c r="F238" s="24"/>
    </row>
    <row r="239" spans="2:6" hidden="1" x14ac:dyDescent="0.25">
      <c r="B239" s="24"/>
      <c r="C239" s="24"/>
      <c r="D239" s="24"/>
      <c r="E239" s="24"/>
      <c r="F239" s="24"/>
    </row>
    <row r="240" spans="2:6" hidden="1" x14ac:dyDescent="0.25">
      <c r="B240" s="24"/>
      <c r="C240" s="24"/>
      <c r="D240" s="24"/>
      <c r="E240" s="24"/>
      <c r="F240" s="24"/>
    </row>
    <row r="241" spans="2:9" hidden="1" x14ac:dyDescent="0.25">
      <c r="B241" s="24"/>
      <c r="C241" s="24"/>
      <c r="D241" s="24"/>
      <c r="E241" s="24"/>
      <c r="F241" s="24"/>
    </row>
    <row r="242" spans="2:9" hidden="1" x14ac:dyDescent="0.25"/>
    <row r="243" spans="2:9" hidden="1" x14ac:dyDescent="0.25"/>
    <row r="244" spans="2:9" hidden="1" x14ac:dyDescent="0.25"/>
    <row r="245" spans="2:9" hidden="1" x14ac:dyDescent="0.25"/>
    <row r="246" spans="2:9" hidden="1" x14ac:dyDescent="0.25"/>
    <row r="247" spans="2:9" hidden="1" x14ac:dyDescent="0.25"/>
    <row r="248" spans="2:9" s="2" customFormat="1" hidden="1" x14ac:dyDescent="0.25">
      <c r="B248"/>
      <c r="C248"/>
      <c r="D248"/>
      <c r="E248"/>
      <c r="F248"/>
      <c r="G248"/>
      <c r="H248"/>
      <c r="I248"/>
    </row>
    <row r="249" spans="2:9" s="2" customFormat="1" hidden="1" x14ac:dyDescent="0.25">
      <c r="B249"/>
      <c r="C249"/>
      <c r="D249"/>
      <c r="E249"/>
      <c r="F249"/>
      <c r="G249"/>
      <c r="H249"/>
      <c r="I249"/>
    </row>
    <row r="250" spans="2:9" s="2" customFormat="1" hidden="1" x14ac:dyDescent="0.25">
      <c r="B250"/>
      <c r="C250"/>
      <c r="D250"/>
      <c r="E250"/>
      <c r="F250"/>
      <c r="G250"/>
      <c r="H250"/>
      <c r="I250"/>
    </row>
    <row r="251" spans="2:9" s="2" customFormat="1" hidden="1" x14ac:dyDescent="0.25">
      <c r="B251"/>
      <c r="C251"/>
      <c r="D251"/>
      <c r="E251"/>
      <c r="F251"/>
      <c r="G251"/>
      <c r="H251"/>
      <c r="I251"/>
    </row>
    <row r="252" spans="2:9" s="2" customFormat="1" hidden="1" x14ac:dyDescent="0.25">
      <c r="B252"/>
      <c r="C252"/>
      <c r="D252"/>
      <c r="E252"/>
      <c r="F252"/>
      <c r="G252"/>
      <c r="H252"/>
      <c r="I252"/>
    </row>
    <row r="253" spans="2:9" s="2" customFormat="1" hidden="1" x14ac:dyDescent="0.25">
      <c r="B253"/>
      <c r="C253"/>
      <c r="D253"/>
      <c r="E253"/>
      <c r="F253"/>
      <c r="G253"/>
      <c r="H253"/>
      <c r="I253"/>
    </row>
    <row r="254" spans="2:9" s="2" customFormat="1" hidden="1" x14ac:dyDescent="0.25">
      <c r="B254"/>
      <c r="C254"/>
      <c r="D254"/>
      <c r="E254"/>
      <c r="F254"/>
      <c r="G254"/>
      <c r="H254"/>
      <c r="I254"/>
    </row>
    <row r="255" spans="2:9" s="2" customFormat="1" hidden="1" x14ac:dyDescent="0.25">
      <c r="B255"/>
      <c r="C255"/>
      <c r="D255"/>
      <c r="E255"/>
      <c r="F255"/>
      <c r="G255"/>
      <c r="H255"/>
      <c r="I255"/>
    </row>
    <row r="256" spans="2:9" s="2" customFormat="1" hidden="1" x14ac:dyDescent="0.25">
      <c r="B256"/>
      <c r="C256"/>
      <c r="D256"/>
      <c r="E256"/>
      <c r="F256"/>
      <c r="G256"/>
      <c r="H256"/>
      <c r="I256"/>
    </row>
    <row r="257" spans="2:9" s="2" customFormat="1" hidden="1" x14ac:dyDescent="0.25">
      <c r="B257"/>
      <c r="C257"/>
      <c r="D257"/>
      <c r="E257"/>
      <c r="F257"/>
      <c r="G257"/>
      <c r="H257"/>
      <c r="I257"/>
    </row>
    <row r="258" spans="2:9" s="2" customFormat="1" hidden="1" x14ac:dyDescent="0.25">
      <c r="B258"/>
      <c r="C258"/>
      <c r="D258"/>
      <c r="E258"/>
      <c r="F258"/>
      <c r="G258"/>
      <c r="H258"/>
      <c r="I258"/>
    </row>
    <row r="259" spans="2:9" s="2" customFormat="1" hidden="1" x14ac:dyDescent="0.25">
      <c r="B259"/>
      <c r="C259"/>
      <c r="D259"/>
      <c r="E259"/>
      <c r="F259"/>
      <c r="G259"/>
      <c r="H259"/>
      <c r="I259"/>
    </row>
    <row r="260" spans="2:9" s="2" customFormat="1" hidden="1" x14ac:dyDescent="0.25">
      <c r="B260"/>
      <c r="C260"/>
      <c r="D260"/>
      <c r="E260"/>
      <c r="F260"/>
      <c r="G260"/>
      <c r="H260"/>
      <c r="I260"/>
    </row>
    <row r="261" spans="2:9" s="2" customFormat="1" hidden="1" x14ac:dyDescent="0.25">
      <c r="B261"/>
      <c r="C261"/>
      <c r="D261"/>
      <c r="E261"/>
      <c r="F261"/>
      <c r="G261"/>
      <c r="H261"/>
      <c r="I261"/>
    </row>
    <row r="262" spans="2:9" s="2" customFormat="1" hidden="1" x14ac:dyDescent="0.25">
      <c r="B262"/>
      <c r="C262"/>
      <c r="D262"/>
      <c r="E262"/>
      <c r="F262"/>
      <c r="G262"/>
      <c r="H262"/>
      <c r="I262"/>
    </row>
    <row r="263" spans="2:9" s="2" customFormat="1" hidden="1" x14ac:dyDescent="0.25">
      <c r="B263"/>
      <c r="C263"/>
      <c r="D263"/>
      <c r="E263"/>
      <c r="F263"/>
      <c r="G263"/>
      <c r="H263"/>
      <c r="I263"/>
    </row>
    <row r="264" spans="2:9" s="2" customFormat="1" hidden="1" x14ac:dyDescent="0.25">
      <c r="B264"/>
      <c r="C264"/>
      <c r="D264"/>
      <c r="E264"/>
      <c r="F264"/>
      <c r="G264"/>
      <c r="H264"/>
      <c r="I264"/>
    </row>
    <row r="265" spans="2:9" s="2" customFormat="1" hidden="1" x14ac:dyDescent="0.25">
      <c r="B265"/>
      <c r="C265"/>
      <c r="D265"/>
      <c r="E265"/>
      <c r="F265"/>
      <c r="G265"/>
      <c r="H265"/>
      <c r="I265"/>
    </row>
    <row r="266" spans="2:9" s="2" customFormat="1" hidden="1" x14ac:dyDescent="0.25">
      <c r="B266"/>
      <c r="C266"/>
      <c r="D266"/>
      <c r="E266"/>
      <c r="F266"/>
      <c r="G266"/>
      <c r="H266"/>
      <c r="I266"/>
    </row>
    <row r="267" spans="2:9" s="2" customFormat="1" hidden="1" x14ac:dyDescent="0.25">
      <c r="B267"/>
      <c r="C267"/>
      <c r="D267"/>
      <c r="E267"/>
      <c r="F267"/>
      <c r="G267"/>
      <c r="H267"/>
      <c r="I267"/>
    </row>
    <row r="268" spans="2:9" s="2" customFormat="1" hidden="1" x14ac:dyDescent="0.25">
      <c r="B268"/>
      <c r="C268"/>
      <c r="D268"/>
      <c r="E268"/>
      <c r="F268"/>
      <c r="G268"/>
      <c r="H268"/>
      <c r="I268"/>
    </row>
    <row r="269" spans="2:9" s="2" customFormat="1" hidden="1" x14ac:dyDescent="0.25">
      <c r="B269"/>
      <c r="C269"/>
      <c r="D269"/>
      <c r="E269"/>
      <c r="F269"/>
      <c r="G269"/>
      <c r="H269"/>
      <c r="I269"/>
    </row>
    <row r="270" spans="2:9" s="2" customFormat="1" hidden="1" x14ac:dyDescent="0.25">
      <c r="B270"/>
      <c r="C270"/>
      <c r="D270"/>
      <c r="E270"/>
      <c r="F270"/>
      <c r="G270"/>
      <c r="H270"/>
      <c r="I270"/>
    </row>
    <row r="271" spans="2:9" s="2" customFormat="1" hidden="1" x14ac:dyDescent="0.25">
      <c r="B271"/>
      <c r="C271"/>
      <c r="D271"/>
      <c r="E271"/>
      <c r="F271"/>
      <c r="G271"/>
      <c r="H271"/>
      <c r="I271"/>
    </row>
    <row r="272" spans="2:9" s="2" customFormat="1" hidden="1" x14ac:dyDescent="0.25">
      <c r="B272"/>
      <c r="C272"/>
      <c r="D272"/>
      <c r="E272"/>
      <c r="F272"/>
      <c r="G272"/>
      <c r="H272"/>
      <c r="I272"/>
    </row>
    <row r="273" spans="2:9" s="2" customFormat="1" hidden="1" x14ac:dyDescent="0.25">
      <c r="B273"/>
      <c r="C273"/>
      <c r="D273"/>
      <c r="E273"/>
      <c r="F273"/>
      <c r="G273"/>
      <c r="H273"/>
      <c r="I273"/>
    </row>
    <row r="274" spans="2:9" s="2" customFormat="1" hidden="1" x14ac:dyDescent="0.25">
      <c r="B274"/>
      <c r="C274"/>
      <c r="D274"/>
      <c r="E274"/>
      <c r="F274"/>
      <c r="G274"/>
      <c r="H274"/>
      <c r="I274"/>
    </row>
    <row r="275" spans="2:9" s="2" customFormat="1" hidden="1" x14ac:dyDescent="0.25">
      <c r="B275"/>
      <c r="C275"/>
      <c r="D275"/>
      <c r="E275"/>
      <c r="F275"/>
      <c r="G275"/>
      <c r="H275"/>
      <c r="I275"/>
    </row>
    <row r="276" spans="2:9" s="2" customFormat="1" hidden="1" x14ac:dyDescent="0.25">
      <c r="B276"/>
      <c r="C276"/>
      <c r="D276"/>
      <c r="E276"/>
      <c r="F276"/>
      <c r="G276"/>
      <c r="H276"/>
      <c r="I276"/>
    </row>
    <row r="277" spans="2:9" s="2" customFormat="1" hidden="1" x14ac:dyDescent="0.25">
      <c r="B277"/>
      <c r="C277"/>
      <c r="D277"/>
      <c r="E277"/>
      <c r="F277"/>
      <c r="G277"/>
      <c r="H277"/>
      <c r="I277"/>
    </row>
    <row r="278" spans="2:9" s="2" customFormat="1" hidden="1" x14ac:dyDescent="0.25">
      <c r="B278"/>
      <c r="C278"/>
      <c r="D278"/>
      <c r="E278"/>
      <c r="F278"/>
      <c r="G278"/>
      <c r="H278"/>
      <c r="I278"/>
    </row>
    <row r="279" spans="2:9" s="2" customFormat="1" hidden="1" x14ac:dyDescent="0.25">
      <c r="B279"/>
      <c r="C279"/>
      <c r="D279"/>
      <c r="E279"/>
      <c r="F279"/>
      <c r="G279"/>
      <c r="H279"/>
      <c r="I279"/>
    </row>
    <row r="280" spans="2:9" s="2" customFormat="1" hidden="1" x14ac:dyDescent="0.25">
      <c r="B280"/>
      <c r="C280"/>
      <c r="D280"/>
      <c r="E280"/>
      <c r="F280"/>
      <c r="G280"/>
      <c r="H280"/>
      <c r="I280"/>
    </row>
    <row r="281" spans="2:9" s="2" customFormat="1" hidden="1" x14ac:dyDescent="0.25">
      <c r="B281"/>
      <c r="C281"/>
      <c r="D281"/>
      <c r="E281"/>
      <c r="F281"/>
      <c r="G281"/>
      <c r="H281"/>
      <c r="I281"/>
    </row>
    <row r="282" spans="2:9" s="2" customFormat="1" hidden="1" x14ac:dyDescent="0.25">
      <c r="B282"/>
      <c r="C282"/>
      <c r="D282"/>
      <c r="E282"/>
      <c r="F282"/>
      <c r="G282"/>
      <c r="H282"/>
      <c r="I282"/>
    </row>
    <row r="283" spans="2:9" s="2" customFormat="1" hidden="1" x14ac:dyDescent="0.25">
      <c r="B283"/>
      <c r="C283"/>
      <c r="D283"/>
      <c r="E283"/>
      <c r="F283"/>
      <c r="G283"/>
      <c r="H283"/>
      <c r="I283"/>
    </row>
    <row r="284" spans="2:9" s="2" customFormat="1" hidden="1" x14ac:dyDescent="0.25">
      <c r="B284"/>
      <c r="C284"/>
      <c r="D284"/>
      <c r="E284"/>
      <c r="F284"/>
      <c r="G284"/>
      <c r="H284"/>
      <c r="I284"/>
    </row>
    <row r="285" spans="2:9" s="2" customFormat="1" hidden="1" x14ac:dyDescent="0.25">
      <c r="B285"/>
      <c r="C285"/>
      <c r="D285"/>
      <c r="E285"/>
      <c r="F285"/>
      <c r="G285"/>
      <c r="H285"/>
      <c r="I285"/>
    </row>
    <row r="286" spans="2:9" s="2" customFormat="1" hidden="1" x14ac:dyDescent="0.25">
      <c r="B286"/>
      <c r="C286"/>
      <c r="D286"/>
      <c r="E286"/>
      <c r="F286"/>
      <c r="G286"/>
      <c r="H286"/>
      <c r="I286"/>
    </row>
    <row r="287" spans="2:9" s="2" customFormat="1" hidden="1" x14ac:dyDescent="0.25">
      <c r="B287"/>
      <c r="C287"/>
      <c r="D287"/>
      <c r="E287"/>
      <c r="F287"/>
      <c r="G287"/>
      <c r="H287"/>
      <c r="I287"/>
    </row>
    <row r="288" spans="2:9" s="2" customFormat="1" hidden="1" x14ac:dyDescent="0.25">
      <c r="B288"/>
      <c r="C288"/>
      <c r="D288"/>
      <c r="E288"/>
      <c r="F288"/>
      <c r="G288"/>
      <c r="H288"/>
      <c r="I288"/>
    </row>
    <row r="289" spans="2:9" s="2" customFormat="1" hidden="1" x14ac:dyDescent="0.25">
      <c r="B289"/>
      <c r="C289"/>
      <c r="D289"/>
      <c r="E289"/>
      <c r="F289"/>
      <c r="G289"/>
      <c r="H289"/>
      <c r="I289"/>
    </row>
    <row r="290" spans="2:9" s="2" customFormat="1" hidden="1" x14ac:dyDescent="0.25">
      <c r="B290"/>
      <c r="C290"/>
      <c r="D290"/>
      <c r="E290"/>
      <c r="F290"/>
      <c r="G290"/>
      <c r="H290"/>
      <c r="I290"/>
    </row>
    <row r="291" spans="2:9" s="2" customFormat="1" hidden="1" x14ac:dyDescent="0.25">
      <c r="B291"/>
      <c r="C291"/>
      <c r="D291"/>
      <c r="E291"/>
      <c r="F291"/>
      <c r="G291"/>
      <c r="H291"/>
      <c r="I291"/>
    </row>
    <row r="292" spans="2:9" s="2" customFormat="1" hidden="1" x14ac:dyDescent="0.25">
      <c r="B292"/>
      <c r="C292"/>
      <c r="D292"/>
      <c r="E292"/>
      <c r="F292"/>
      <c r="G292"/>
      <c r="H292"/>
      <c r="I292"/>
    </row>
    <row r="293" spans="2:9" s="2" customFormat="1" hidden="1" x14ac:dyDescent="0.25">
      <c r="B293"/>
      <c r="C293"/>
      <c r="D293"/>
      <c r="E293"/>
      <c r="F293"/>
      <c r="G293"/>
      <c r="H293"/>
      <c r="I293"/>
    </row>
    <row r="294" spans="2:9" s="2" customFormat="1" hidden="1" x14ac:dyDescent="0.25">
      <c r="B294"/>
      <c r="C294"/>
      <c r="D294"/>
      <c r="E294"/>
      <c r="F294"/>
      <c r="G294"/>
      <c r="H294"/>
      <c r="I294"/>
    </row>
    <row r="295" spans="2:9" s="2" customFormat="1" hidden="1" x14ac:dyDescent="0.25">
      <c r="B295"/>
      <c r="C295"/>
      <c r="D295"/>
      <c r="E295"/>
      <c r="F295"/>
      <c r="G295"/>
      <c r="H295"/>
      <c r="I295"/>
    </row>
    <row r="296" spans="2:9" s="2" customFormat="1" hidden="1" x14ac:dyDescent="0.25">
      <c r="B296"/>
      <c r="C296"/>
      <c r="D296"/>
      <c r="E296"/>
      <c r="F296"/>
      <c r="G296"/>
      <c r="H296"/>
      <c r="I296"/>
    </row>
    <row r="297" spans="2:9" s="2" customFormat="1" hidden="1" x14ac:dyDescent="0.25">
      <c r="B297"/>
      <c r="C297"/>
      <c r="D297"/>
      <c r="E297"/>
      <c r="F297"/>
      <c r="G297"/>
      <c r="H297"/>
      <c r="I297"/>
    </row>
    <row r="298" spans="2:9" s="2" customFormat="1" hidden="1" x14ac:dyDescent="0.25">
      <c r="B298"/>
      <c r="C298"/>
      <c r="D298"/>
      <c r="E298"/>
      <c r="F298"/>
      <c r="G298"/>
      <c r="H298"/>
      <c r="I298"/>
    </row>
    <row r="299" spans="2:9" s="2" customFormat="1" hidden="1" x14ac:dyDescent="0.25">
      <c r="B299"/>
      <c r="C299"/>
      <c r="D299"/>
      <c r="E299"/>
      <c r="F299"/>
      <c r="G299"/>
      <c r="H299"/>
      <c r="I299"/>
    </row>
    <row r="300" spans="2:9" s="2" customFormat="1" hidden="1" x14ac:dyDescent="0.25">
      <c r="B300"/>
      <c r="C300"/>
      <c r="D300"/>
      <c r="E300"/>
      <c r="F300"/>
      <c r="G300"/>
      <c r="H300"/>
      <c r="I300"/>
    </row>
    <row r="301" spans="2:9" s="2" customFormat="1" hidden="1" x14ac:dyDescent="0.25">
      <c r="B301"/>
      <c r="C301"/>
      <c r="D301"/>
      <c r="E301"/>
      <c r="F301"/>
      <c r="G301"/>
      <c r="H301"/>
      <c r="I301"/>
    </row>
    <row r="302" spans="2:9" s="2" customFormat="1" hidden="1" x14ac:dyDescent="0.25">
      <c r="B302"/>
      <c r="C302"/>
      <c r="D302"/>
      <c r="E302"/>
      <c r="F302"/>
      <c r="G302"/>
      <c r="H302"/>
      <c r="I302"/>
    </row>
    <row r="303" spans="2:9" s="2" customFormat="1" hidden="1" x14ac:dyDescent="0.25">
      <c r="B303"/>
      <c r="C303"/>
      <c r="D303"/>
      <c r="E303"/>
      <c r="F303"/>
      <c r="G303"/>
      <c r="H303"/>
      <c r="I303"/>
    </row>
    <row r="304" spans="2:9" s="2" customFormat="1" hidden="1" x14ac:dyDescent="0.25">
      <c r="B304"/>
      <c r="C304"/>
      <c r="D304"/>
      <c r="E304"/>
      <c r="F304"/>
      <c r="G304"/>
      <c r="H304"/>
      <c r="I304"/>
    </row>
    <row r="305" spans="2:9" s="2" customFormat="1" hidden="1" x14ac:dyDescent="0.25">
      <c r="B305"/>
      <c r="C305"/>
      <c r="D305"/>
      <c r="E305"/>
      <c r="F305"/>
      <c r="G305"/>
      <c r="H305"/>
      <c r="I305"/>
    </row>
    <row r="306" spans="2:9" s="2" customFormat="1" hidden="1" x14ac:dyDescent="0.25">
      <c r="B306"/>
      <c r="C306"/>
      <c r="D306"/>
      <c r="E306"/>
      <c r="F306"/>
      <c r="G306"/>
      <c r="H306"/>
      <c r="I306"/>
    </row>
    <row r="307" spans="2:9" s="2" customFormat="1" hidden="1" x14ac:dyDescent="0.25">
      <c r="B307"/>
      <c r="C307"/>
      <c r="D307"/>
      <c r="E307"/>
      <c r="F307"/>
      <c r="G307"/>
      <c r="H307"/>
      <c r="I307"/>
    </row>
    <row r="308" spans="2:9" s="2" customFormat="1" hidden="1" x14ac:dyDescent="0.25">
      <c r="B308"/>
      <c r="C308"/>
      <c r="D308"/>
      <c r="E308"/>
      <c r="F308"/>
      <c r="G308"/>
      <c r="H308"/>
      <c r="I308"/>
    </row>
    <row r="309" spans="2:9" s="2" customFormat="1" hidden="1" x14ac:dyDescent="0.25">
      <c r="B309"/>
      <c r="C309"/>
      <c r="D309"/>
      <c r="E309"/>
      <c r="F309"/>
      <c r="G309"/>
      <c r="H309"/>
      <c r="I309"/>
    </row>
    <row r="310" spans="2:9" s="2" customFormat="1" hidden="1" x14ac:dyDescent="0.25">
      <c r="B310"/>
      <c r="C310"/>
      <c r="D310"/>
      <c r="E310"/>
      <c r="F310"/>
      <c r="G310"/>
      <c r="H310"/>
      <c r="I310"/>
    </row>
    <row r="311" spans="2:9" s="2" customFormat="1" hidden="1" x14ac:dyDescent="0.25">
      <c r="B311"/>
      <c r="C311"/>
      <c r="D311"/>
      <c r="E311"/>
      <c r="F311"/>
      <c r="G311"/>
      <c r="H311"/>
      <c r="I311"/>
    </row>
    <row r="312" spans="2:9" s="2" customFormat="1" hidden="1" x14ac:dyDescent="0.25">
      <c r="B312"/>
      <c r="C312"/>
      <c r="D312"/>
      <c r="E312"/>
      <c r="F312"/>
      <c r="G312"/>
      <c r="H312"/>
      <c r="I312"/>
    </row>
    <row r="313" spans="2:9" s="2" customFormat="1" hidden="1" x14ac:dyDescent="0.25">
      <c r="B313"/>
      <c r="C313"/>
      <c r="D313"/>
      <c r="E313"/>
      <c r="F313"/>
      <c r="G313"/>
      <c r="H313"/>
      <c r="I313"/>
    </row>
    <row r="314" spans="2:9" s="2" customFormat="1" hidden="1" x14ac:dyDescent="0.25">
      <c r="B314"/>
      <c r="C314"/>
      <c r="D314"/>
      <c r="E314"/>
      <c r="F314"/>
      <c r="G314"/>
      <c r="H314"/>
      <c r="I314"/>
    </row>
    <row r="315" spans="2:9" s="2" customFormat="1" hidden="1" x14ac:dyDescent="0.25">
      <c r="B315"/>
      <c r="C315"/>
      <c r="D315"/>
      <c r="E315"/>
      <c r="F315"/>
      <c r="G315"/>
      <c r="H315"/>
      <c r="I315"/>
    </row>
    <row r="316" spans="2:9" s="2" customFormat="1" hidden="1" x14ac:dyDescent="0.25">
      <c r="B316"/>
      <c r="C316"/>
      <c r="D316"/>
      <c r="E316"/>
      <c r="F316"/>
      <c r="G316"/>
      <c r="H316"/>
      <c r="I316"/>
    </row>
    <row r="317" spans="2:9" s="2" customFormat="1" hidden="1" x14ac:dyDescent="0.25">
      <c r="B317"/>
      <c r="C317"/>
      <c r="D317"/>
      <c r="E317"/>
      <c r="F317"/>
      <c r="G317"/>
      <c r="H317"/>
      <c r="I317"/>
    </row>
    <row r="318" spans="2:9" s="2" customFormat="1" hidden="1" x14ac:dyDescent="0.25">
      <c r="B318"/>
      <c r="C318"/>
      <c r="D318"/>
      <c r="E318"/>
      <c r="F318"/>
      <c r="G318"/>
      <c r="H318"/>
      <c r="I318"/>
    </row>
    <row r="319" spans="2:9" s="2" customFormat="1" hidden="1" x14ac:dyDescent="0.25">
      <c r="B319"/>
      <c r="C319"/>
      <c r="D319"/>
      <c r="E319"/>
      <c r="F319"/>
      <c r="G319"/>
      <c r="H319"/>
      <c r="I319"/>
    </row>
    <row r="320" spans="2:9" s="2" customFormat="1" hidden="1" x14ac:dyDescent="0.25">
      <c r="B320"/>
      <c r="C320"/>
      <c r="D320"/>
      <c r="E320"/>
      <c r="F320"/>
      <c r="G320"/>
      <c r="H320"/>
      <c r="I320"/>
    </row>
    <row r="321" spans="2:9" s="2" customFormat="1" hidden="1" x14ac:dyDescent="0.25">
      <c r="B321"/>
      <c r="C321"/>
      <c r="D321"/>
      <c r="E321"/>
      <c r="F321"/>
      <c r="G321"/>
      <c r="H321"/>
      <c r="I321"/>
    </row>
    <row r="322" spans="2:9" s="2" customFormat="1" hidden="1" x14ac:dyDescent="0.25">
      <c r="B322"/>
      <c r="C322"/>
      <c r="D322"/>
      <c r="E322"/>
      <c r="F322"/>
      <c r="G322"/>
      <c r="H322"/>
      <c r="I322"/>
    </row>
    <row r="323" spans="2:9" s="2" customFormat="1" hidden="1" x14ac:dyDescent="0.25">
      <c r="B323"/>
      <c r="C323"/>
      <c r="D323"/>
      <c r="E323"/>
      <c r="F323"/>
      <c r="G323"/>
      <c r="H323"/>
      <c r="I323"/>
    </row>
    <row r="324" spans="2:9" s="2" customFormat="1" hidden="1" x14ac:dyDescent="0.25">
      <c r="B324"/>
      <c r="C324"/>
      <c r="D324"/>
      <c r="E324"/>
      <c r="F324"/>
      <c r="G324"/>
      <c r="H324"/>
      <c r="I324"/>
    </row>
    <row r="325" spans="2:9" s="2" customFormat="1" hidden="1" x14ac:dyDescent="0.25">
      <c r="B325"/>
      <c r="C325"/>
      <c r="D325"/>
      <c r="E325"/>
      <c r="F325"/>
      <c r="G325"/>
      <c r="H325"/>
      <c r="I325"/>
    </row>
    <row r="326" spans="2:9" s="2" customFormat="1" hidden="1" x14ac:dyDescent="0.25">
      <c r="B326"/>
      <c r="C326"/>
      <c r="D326"/>
      <c r="E326"/>
      <c r="F326"/>
      <c r="G326"/>
      <c r="H326"/>
      <c r="I326"/>
    </row>
    <row r="327" spans="2:9" s="2" customFormat="1" hidden="1" x14ac:dyDescent="0.25">
      <c r="B327"/>
      <c r="C327"/>
      <c r="D327"/>
      <c r="E327"/>
      <c r="F327"/>
      <c r="G327"/>
      <c r="H327"/>
      <c r="I327"/>
    </row>
    <row r="328" spans="2:9" s="2" customFormat="1" hidden="1" x14ac:dyDescent="0.25">
      <c r="B328"/>
      <c r="C328"/>
      <c r="D328"/>
      <c r="E328"/>
      <c r="F328"/>
      <c r="G328"/>
      <c r="H328"/>
      <c r="I328"/>
    </row>
    <row r="329" spans="2:9" s="2" customFormat="1" hidden="1" x14ac:dyDescent="0.25">
      <c r="B329"/>
      <c r="C329"/>
      <c r="D329"/>
      <c r="E329"/>
      <c r="F329"/>
      <c r="G329"/>
      <c r="H329"/>
      <c r="I329"/>
    </row>
    <row r="330" spans="2:9" s="2" customFormat="1" hidden="1" x14ac:dyDescent="0.25">
      <c r="B330"/>
      <c r="C330"/>
      <c r="D330"/>
      <c r="E330"/>
      <c r="F330"/>
      <c r="G330"/>
      <c r="H330"/>
      <c r="I330"/>
    </row>
    <row r="331" spans="2:9" s="2" customFormat="1" hidden="1" x14ac:dyDescent="0.25">
      <c r="B331"/>
      <c r="C331"/>
      <c r="D331"/>
      <c r="E331"/>
      <c r="F331"/>
      <c r="G331"/>
      <c r="H331"/>
      <c r="I331"/>
    </row>
    <row r="332" spans="2:9" s="2" customFormat="1" hidden="1" x14ac:dyDescent="0.25">
      <c r="B332"/>
      <c r="C332"/>
      <c r="D332"/>
      <c r="E332"/>
      <c r="F332"/>
      <c r="G332"/>
      <c r="H332"/>
      <c r="I332"/>
    </row>
    <row r="333" spans="2:9" s="2" customFormat="1" hidden="1" x14ac:dyDescent="0.25">
      <c r="B333"/>
      <c r="C333"/>
      <c r="D333"/>
      <c r="E333"/>
      <c r="F333"/>
      <c r="G333"/>
      <c r="H333"/>
      <c r="I333"/>
    </row>
    <row r="334" spans="2:9" s="2" customFormat="1" hidden="1" x14ac:dyDescent="0.25">
      <c r="B334"/>
      <c r="C334"/>
      <c r="D334"/>
      <c r="E334"/>
      <c r="F334"/>
      <c r="G334"/>
      <c r="H334"/>
      <c r="I334"/>
    </row>
    <row r="335" spans="2:9" s="2" customFormat="1" hidden="1" x14ac:dyDescent="0.25">
      <c r="B335"/>
      <c r="C335"/>
      <c r="D335"/>
      <c r="E335"/>
      <c r="F335"/>
      <c r="G335"/>
      <c r="H335"/>
      <c r="I335"/>
    </row>
    <row r="336" spans="2:9" s="2" customFormat="1" hidden="1" x14ac:dyDescent="0.25">
      <c r="B336"/>
      <c r="C336"/>
      <c r="D336"/>
      <c r="E336"/>
      <c r="F336"/>
      <c r="G336"/>
      <c r="H336"/>
      <c r="I336"/>
    </row>
    <row r="337" spans="2:9" s="2" customFormat="1" hidden="1" x14ac:dyDescent="0.25">
      <c r="B337"/>
      <c r="C337"/>
      <c r="D337"/>
      <c r="E337"/>
      <c r="F337"/>
      <c r="G337"/>
      <c r="H337"/>
      <c r="I337"/>
    </row>
    <row r="338" spans="2:9" s="2" customFormat="1" hidden="1" x14ac:dyDescent="0.25">
      <c r="B338"/>
      <c r="C338"/>
      <c r="D338"/>
      <c r="E338"/>
      <c r="F338"/>
      <c r="G338"/>
      <c r="H338"/>
      <c r="I338"/>
    </row>
    <row r="339" spans="2:9" s="2" customFormat="1" hidden="1" x14ac:dyDescent="0.25">
      <c r="B339"/>
      <c r="C339"/>
      <c r="D339"/>
      <c r="E339"/>
      <c r="F339"/>
      <c r="G339"/>
      <c r="H339"/>
      <c r="I339"/>
    </row>
    <row r="340" spans="2:9" s="2" customFormat="1" hidden="1" x14ac:dyDescent="0.25">
      <c r="B340"/>
      <c r="C340"/>
      <c r="D340"/>
      <c r="E340"/>
      <c r="F340"/>
      <c r="G340"/>
      <c r="H340"/>
      <c r="I340"/>
    </row>
    <row r="341" spans="2:9" s="2" customFormat="1" hidden="1" x14ac:dyDescent="0.25">
      <c r="B341"/>
      <c r="C341"/>
      <c r="D341"/>
      <c r="E341"/>
      <c r="F341"/>
      <c r="G341"/>
      <c r="H341"/>
      <c r="I341"/>
    </row>
    <row r="342" spans="2:9" s="2" customFormat="1" hidden="1" x14ac:dyDescent="0.25">
      <c r="B342"/>
      <c r="C342"/>
      <c r="D342"/>
      <c r="E342"/>
      <c r="F342"/>
      <c r="G342"/>
      <c r="H342"/>
      <c r="I342"/>
    </row>
    <row r="343" spans="2:9" s="2" customFormat="1" hidden="1" x14ac:dyDescent="0.25">
      <c r="B343"/>
      <c r="C343"/>
      <c r="D343"/>
      <c r="E343"/>
      <c r="F343"/>
      <c r="G343"/>
      <c r="H343"/>
      <c r="I343"/>
    </row>
    <row r="344" spans="2:9" hidden="1" x14ac:dyDescent="0.25"/>
    <row r="345" spans="2:9" hidden="1" x14ac:dyDescent="0.25"/>
    <row r="346" spans="2:9" hidden="1" x14ac:dyDescent="0.25"/>
    <row r="347" spans="2:9" hidden="1" x14ac:dyDescent="0.25"/>
    <row r="348" spans="2:9" hidden="1" x14ac:dyDescent="0.25"/>
    <row r="349" spans="2:9" hidden="1" x14ac:dyDescent="0.25"/>
    <row r="350" spans="2:9" hidden="1" x14ac:dyDescent="0.25"/>
    <row r="351" spans="2:9" hidden="1" x14ac:dyDescent="0.25"/>
    <row r="352" spans="2:9"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sheetData>
  <sheetProtection sheet="1" objects="1" scenarios="1"/>
  <mergeCells count="18">
    <mergeCell ref="A1:F1"/>
    <mergeCell ref="A2:A195"/>
    <mergeCell ref="B2:F2"/>
    <mergeCell ref="B3:F3"/>
    <mergeCell ref="B5:F5"/>
    <mergeCell ref="B6:F6"/>
    <mergeCell ref="B12:F12"/>
    <mergeCell ref="B13:F13"/>
    <mergeCell ref="B33:F33"/>
    <mergeCell ref="B44:F44"/>
    <mergeCell ref="B79:F79"/>
    <mergeCell ref="B19:F19"/>
    <mergeCell ref="B20:F20"/>
    <mergeCell ref="B34:F34"/>
    <mergeCell ref="B26:F26"/>
    <mergeCell ref="B27:F27"/>
    <mergeCell ref="B38:F38"/>
    <mergeCell ref="B39:F39"/>
  </mergeCells>
  <conditionalFormatting sqref="B2 B71:F84 F36:F37 B39:F39 B6:B7 C11 B9:B11 F9:F11 B12:F12 B18:F18 B15:B17 F15:F17 B14:F14 B41:C41 C40:D40 B3:F4 B42:D43 B37 D36">
    <cfRule type="expression" dxfId="77" priority="115">
      <formula>$B$2="INTRODUCTION"</formula>
    </cfRule>
  </conditionalFormatting>
  <conditionalFormatting sqref="C76:C77 C82:C84">
    <cfRule type="expression" dxfId="76" priority="114">
      <formula>$B$2="INTRODUCTION"</formula>
    </cfRule>
  </conditionalFormatting>
  <conditionalFormatting sqref="C72 C74">
    <cfRule type="expression" dxfId="75" priority="113">
      <formula>$B$2="INTRODUCTION"</formula>
    </cfRule>
  </conditionalFormatting>
  <conditionalFormatting sqref="A1:F1">
    <cfRule type="expression" dxfId="74" priority="112">
      <formula>$B$2="INTRODUCTION"</formula>
    </cfRule>
  </conditionalFormatting>
  <conditionalFormatting sqref="B2:F2 B12:F12 B79:F79">
    <cfRule type="expression" dxfId="73" priority="111">
      <formula>$B$2="INTRODUCTION"</formula>
    </cfRule>
  </conditionalFormatting>
  <conditionalFormatting sqref="B5:F5">
    <cfRule type="expression" dxfId="72" priority="110">
      <formula>$B$2="INTRODUCTION"</formula>
    </cfRule>
  </conditionalFormatting>
  <conditionalFormatting sqref="B5:F5">
    <cfRule type="expression" dxfId="71" priority="109">
      <formula>$B$2="INTRODUCTION"</formula>
    </cfRule>
  </conditionalFormatting>
  <conditionalFormatting sqref="B8 F8">
    <cfRule type="expression" dxfId="70" priority="108">
      <formula>$B$2="INTRODUCTION"</formula>
    </cfRule>
  </conditionalFormatting>
  <conditionalFormatting sqref="C9">
    <cfRule type="expression" dxfId="69" priority="102">
      <formula>$B$2="INTRODUCTION"</formula>
    </cfRule>
  </conditionalFormatting>
  <conditionalFormatting sqref="C8">
    <cfRule type="expression" dxfId="68" priority="107">
      <formula>$B$2="INTRODUCTION"</formula>
    </cfRule>
  </conditionalFormatting>
  <conditionalFormatting sqref="C8">
    <cfRule type="expression" dxfId="67" priority="106">
      <formula>$B$2="INTRODUCTION"</formula>
    </cfRule>
  </conditionalFormatting>
  <conditionalFormatting sqref="C10">
    <cfRule type="expression" dxfId="66" priority="105">
      <formula>$B$2="INTRODUCTION"</formula>
    </cfRule>
  </conditionalFormatting>
  <conditionalFormatting sqref="C10">
    <cfRule type="expression" dxfId="65" priority="104">
      <formula>$B$2="INTRODUCTION"</formula>
    </cfRule>
  </conditionalFormatting>
  <conditionalFormatting sqref="D8:D11">
    <cfRule type="expression" dxfId="64" priority="103">
      <formula>$B$2="INTRODUCTION"</formula>
    </cfRule>
  </conditionalFormatting>
  <conditionalFormatting sqref="B44:F44">
    <cfRule type="expression" dxfId="63" priority="86">
      <formula>$B$2="INTRODUCTION"</formula>
    </cfRule>
  </conditionalFormatting>
  <conditionalFormatting sqref="D66:D67 D69">
    <cfRule type="expression" dxfId="62" priority="80">
      <formula>$B$2="INTRODUCTION"</formula>
    </cfRule>
  </conditionalFormatting>
  <conditionalFormatting sqref="C48:E49 C51:E54 D50:E50">
    <cfRule type="expression" dxfId="61" priority="73">
      <formula>$B$2="INTRODUCTION"</formula>
    </cfRule>
  </conditionalFormatting>
  <conditionalFormatting sqref="B46:B47">
    <cfRule type="expression" dxfId="60" priority="84">
      <formula>$B$2="INTRODUCTION"</formula>
    </cfRule>
  </conditionalFormatting>
  <conditionalFormatting sqref="B44:F44">
    <cfRule type="expression" dxfId="59" priority="85">
      <formula>$B$2="INTRODUCTION"</formula>
    </cfRule>
  </conditionalFormatting>
  <conditionalFormatting sqref="B57:F57">
    <cfRule type="expression" dxfId="58" priority="81">
      <formula>$B$2="INTRODUCTION"</formula>
    </cfRule>
  </conditionalFormatting>
  <conditionalFormatting sqref="D69">
    <cfRule type="expression" dxfId="57" priority="74">
      <formula>D69="No - please revisit"</formula>
    </cfRule>
    <cfRule type="expression" dxfId="56" priority="75">
      <formula>D69="Yes"</formula>
    </cfRule>
  </conditionalFormatting>
  <conditionalFormatting sqref="D66">
    <cfRule type="expression" dxfId="55" priority="78">
      <formula>D66="No - please revisit"</formula>
    </cfRule>
    <cfRule type="expression" dxfId="54" priority="79">
      <formula>D66="Yes"</formula>
    </cfRule>
  </conditionalFormatting>
  <conditionalFormatting sqref="D67">
    <cfRule type="expression" dxfId="53" priority="76">
      <formula>D67="No - please revisit"</formula>
    </cfRule>
    <cfRule type="expression" dxfId="52" priority="77">
      <formula>D67="Yes"</formula>
    </cfRule>
  </conditionalFormatting>
  <conditionalFormatting sqref="B69">
    <cfRule type="expression" dxfId="51" priority="52">
      <formula>$B$2="INTRODUCTION"</formula>
    </cfRule>
  </conditionalFormatting>
  <conditionalFormatting sqref="C48:C49 C51:C54">
    <cfRule type="expression" dxfId="50" priority="72">
      <formula>$B$2="INTRODUCTION"</formula>
    </cfRule>
  </conditionalFormatting>
  <conditionalFormatting sqref="B68 B65">
    <cfRule type="expression" dxfId="49" priority="64">
      <formula>$B$2="INTRODUCTION"</formula>
    </cfRule>
  </conditionalFormatting>
  <conditionalFormatting sqref="F60 F62:F63">
    <cfRule type="expression" dxfId="48" priority="65">
      <formula>$B$2="INTRODUCTION"</formula>
    </cfRule>
  </conditionalFormatting>
  <conditionalFormatting sqref="B60:B63">
    <cfRule type="expression" dxfId="47" priority="67">
      <formula>$B$2="INTRODUCTION"</formula>
    </cfRule>
  </conditionalFormatting>
  <conditionalFormatting sqref="D60:D63">
    <cfRule type="expression" dxfId="46" priority="66">
      <formula>$B$2="INTRODUCTION"</formula>
    </cfRule>
  </conditionalFormatting>
  <conditionalFormatting sqref="F17">
    <cfRule type="expression" dxfId="45" priority="56">
      <formula>$B$2="INTRODUCTION"</formula>
    </cfRule>
  </conditionalFormatting>
  <conditionalFormatting sqref="F61">
    <cfRule type="expression" dxfId="44" priority="54">
      <formula>$B$2="INTRODUCTION"</formula>
    </cfRule>
  </conditionalFormatting>
  <conditionalFormatting sqref="B66:B67">
    <cfRule type="expression" dxfId="43" priority="53">
      <formula>$B$2="INTRODUCTION"</formula>
    </cfRule>
  </conditionalFormatting>
  <conditionalFormatting sqref="B38:F38">
    <cfRule type="expression" dxfId="42" priority="51">
      <formula>$B$2="INTRODUCTION"</formula>
    </cfRule>
  </conditionalFormatting>
  <conditionalFormatting sqref="B38:F38">
    <cfRule type="expression" dxfId="41" priority="50">
      <formula>$B$2="INTRODUCTION"</formula>
    </cfRule>
  </conditionalFormatting>
  <conditionalFormatting sqref="C36">
    <cfRule type="expression" dxfId="40" priority="49">
      <formula>$B$2="INTRODUCTION"</formula>
    </cfRule>
  </conditionalFormatting>
  <conditionalFormatting sqref="C36">
    <cfRule type="expression" dxfId="39" priority="48">
      <formula>$B$2="INTRODUCTION"</formula>
    </cfRule>
  </conditionalFormatting>
  <conditionalFormatting sqref="C16">
    <cfRule type="expression" dxfId="38" priority="35">
      <formula>$B$2="INTRODUCTION"</formula>
    </cfRule>
  </conditionalFormatting>
  <conditionalFormatting sqref="C15">
    <cfRule type="expression" dxfId="37" priority="40">
      <formula>$B$2="INTRODUCTION"</formula>
    </cfRule>
  </conditionalFormatting>
  <conditionalFormatting sqref="C15">
    <cfRule type="expression" dxfId="36" priority="39">
      <formula>$B$2="INTRODUCTION"</formula>
    </cfRule>
  </conditionalFormatting>
  <conditionalFormatting sqref="C17">
    <cfRule type="expression" dxfId="35" priority="38">
      <formula>$B$2="INTRODUCTION"</formula>
    </cfRule>
  </conditionalFormatting>
  <conditionalFormatting sqref="C17">
    <cfRule type="expression" dxfId="34" priority="37">
      <formula>$B$2="INTRODUCTION"</formula>
    </cfRule>
  </conditionalFormatting>
  <conditionalFormatting sqref="B19:F21 B25:F25 B22:B24 F22:F24">
    <cfRule type="expression" dxfId="33" priority="34">
      <formula>$B$2="INTRODUCTION"</formula>
    </cfRule>
  </conditionalFormatting>
  <conditionalFormatting sqref="B19:F19">
    <cfRule type="expression" dxfId="32" priority="33">
      <formula>$B$2="INTRODUCTION"</formula>
    </cfRule>
  </conditionalFormatting>
  <conditionalFormatting sqref="F24">
    <cfRule type="expression" dxfId="31" priority="32">
      <formula>$B$2="INTRODUCTION"</formula>
    </cfRule>
  </conditionalFormatting>
  <conditionalFormatting sqref="C23">
    <cfRule type="expression" dxfId="30" priority="26">
      <formula>$B$2="INTRODUCTION"</formula>
    </cfRule>
  </conditionalFormatting>
  <conditionalFormatting sqref="C22">
    <cfRule type="expression" dxfId="29" priority="31">
      <formula>$B$2="INTRODUCTION"</formula>
    </cfRule>
  </conditionalFormatting>
  <conditionalFormatting sqref="C22">
    <cfRule type="expression" dxfId="28" priority="30">
      <formula>$B$2="INTRODUCTION"</formula>
    </cfRule>
  </conditionalFormatting>
  <conditionalFormatting sqref="C24">
    <cfRule type="expression" dxfId="27" priority="29">
      <formula>$B$2="INTRODUCTION"</formula>
    </cfRule>
  </conditionalFormatting>
  <conditionalFormatting sqref="C24">
    <cfRule type="expression" dxfId="26" priority="28">
      <formula>$B$2="INTRODUCTION"</formula>
    </cfRule>
  </conditionalFormatting>
  <conditionalFormatting sqref="D22:D24">
    <cfRule type="expression" dxfId="25" priority="27">
      <formula>$B$2="INTRODUCTION"</formula>
    </cfRule>
  </conditionalFormatting>
  <conditionalFormatting sqref="D15:D17">
    <cfRule type="expression" dxfId="24" priority="25">
      <formula>$B$2="INTRODUCTION"</formula>
    </cfRule>
  </conditionalFormatting>
  <conditionalFormatting sqref="B13">
    <cfRule type="expression" dxfId="23" priority="24">
      <formula>$B$2="INTRODUCTION"</formula>
    </cfRule>
  </conditionalFormatting>
  <conditionalFormatting sqref="B34:F35">
    <cfRule type="expression" dxfId="22" priority="23">
      <formula>$B$2="INTRODUCTION"</formula>
    </cfRule>
  </conditionalFormatting>
  <conditionalFormatting sqref="B40">
    <cfRule type="expression" dxfId="21" priority="22">
      <formula>$B$2="INTRODUCTION"</formula>
    </cfRule>
  </conditionalFormatting>
  <conditionalFormatting sqref="B26:F28 B32:F32 B29:B31 F29:F31">
    <cfRule type="expression" dxfId="20" priority="21">
      <formula>$B$2="INTRODUCTION"</formula>
    </cfRule>
  </conditionalFormatting>
  <conditionalFormatting sqref="B26:F26">
    <cfRule type="expression" dxfId="19" priority="20">
      <formula>$B$2="INTRODUCTION"</formula>
    </cfRule>
  </conditionalFormatting>
  <conditionalFormatting sqref="F31">
    <cfRule type="expression" dxfId="18" priority="19">
      <formula>$B$2="INTRODUCTION"</formula>
    </cfRule>
  </conditionalFormatting>
  <conditionalFormatting sqref="C30">
    <cfRule type="expression" dxfId="17" priority="13">
      <formula>$B$2="INTRODUCTION"</formula>
    </cfRule>
  </conditionalFormatting>
  <conditionalFormatting sqref="C29">
    <cfRule type="expression" dxfId="16" priority="18">
      <formula>$B$2="INTRODUCTION"</formula>
    </cfRule>
  </conditionalFormatting>
  <conditionalFormatting sqref="C29">
    <cfRule type="expression" dxfId="15" priority="17">
      <formula>$B$2="INTRODUCTION"</formula>
    </cfRule>
  </conditionalFormatting>
  <conditionalFormatting sqref="C31">
    <cfRule type="expression" dxfId="14" priority="16">
      <formula>$B$2="INTRODUCTION"</formula>
    </cfRule>
  </conditionalFormatting>
  <conditionalFormatting sqref="C31">
    <cfRule type="expression" dxfId="13" priority="15">
      <formula>$B$2="INTRODUCTION"</formula>
    </cfRule>
  </conditionalFormatting>
  <conditionalFormatting sqref="D29:D31">
    <cfRule type="expression" dxfId="12" priority="14">
      <formula>$B$2="INTRODUCTION"</formula>
    </cfRule>
  </conditionalFormatting>
  <conditionalFormatting sqref="E42">
    <cfRule type="expression" dxfId="11" priority="12">
      <formula>$B$2="INTRODUCTION"</formula>
    </cfRule>
  </conditionalFormatting>
  <conditionalFormatting sqref="E42">
    <cfRule type="expression" dxfId="10" priority="11">
      <formula>$B$2="INTRODUCTION"</formula>
    </cfRule>
  </conditionalFormatting>
  <conditionalFormatting sqref="F42">
    <cfRule type="expression" dxfId="9" priority="10">
      <formula>$B$2="INTRODUCTION"</formula>
    </cfRule>
  </conditionalFormatting>
  <conditionalFormatting sqref="C60:C63">
    <cfRule type="expression" dxfId="8" priority="9">
      <formula>$B$2="INTRODUCTION"</formula>
    </cfRule>
  </conditionalFormatting>
  <conditionalFormatting sqref="C60:C63">
    <cfRule type="expression" dxfId="7" priority="7">
      <formula>C60="No - please revisit"</formula>
    </cfRule>
    <cfRule type="expression" dxfId="6" priority="8">
      <formula>C60="Yes"</formula>
    </cfRule>
  </conditionalFormatting>
  <conditionalFormatting sqref="E60:E63">
    <cfRule type="expression" dxfId="5" priority="6">
      <formula>$B$2="INTRODUCTION"</formula>
    </cfRule>
  </conditionalFormatting>
  <conditionalFormatting sqref="E60:E63">
    <cfRule type="expression" dxfId="4" priority="4">
      <formula>E60="No - please revisit"</formula>
    </cfRule>
    <cfRule type="expression" dxfId="3" priority="5">
      <formula>E60="Yes"</formula>
    </cfRule>
  </conditionalFormatting>
  <conditionalFormatting sqref="B56:F56">
    <cfRule type="expression" dxfId="2" priority="3">
      <formula>$B$2="INTRODUCTION"</formula>
    </cfRule>
  </conditionalFormatting>
  <conditionalFormatting sqref="B33:F33">
    <cfRule type="expression" dxfId="1" priority="2">
      <formula>$B$2="INTRODUCTION"</formula>
    </cfRule>
  </conditionalFormatting>
  <conditionalFormatting sqref="B33:F33">
    <cfRule type="expression" dxfId="0" priority="1">
      <formula>$B$2="INTRODUCTION"</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71"/>
  <sheetViews>
    <sheetView zoomScaleNormal="100" workbookViewId="0">
      <selection activeCell="D90" sqref="D90"/>
    </sheetView>
  </sheetViews>
  <sheetFormatPr defaultColWidth="0" defaultRowHeight="15" zeroHeight="1" x14ac:dyDescent="0.25"/>
  <cols>
    <col min="1" max="1" width="9.140625" customWidth="1"/>
    <col min="2" max="2" width="32.7109375" customWidth="1"/>
    <col min="3" max="3" width="29" customWidth="1"/>
    <col min="4" max="4" width="20.7109375" customWidth="1"/>
    <col min="5" max="5" width="20.5703125" customWidth="1"/>
    <col min="6" max="6" width="26.7109375" customWidth="1"/>
    <col min="7" max="8" width="9.140625" customWidth="1"/>
    <col min="9" max="16384" width="9.140625" hidden="1"/>
  </cols>
  <sheetData>
    <row r="1" spans="1:8" ht="22.5" x14ac:dyDescent="0.25">
      <c r="A1" s="211" t="s">
        <v>137</v>
      </c>
      <c r="B1" s="211"/>
      <c r="C1" s="211"/>
      <c r="D1" s="211"/>
      <c r="E1" s="211"/>
      <c r="F1" s="211"/>
      <c r="G1" s="211"/>
      <c r="H1" s="211"/>
    </row>
    <row r="2" spans="1:8" ht="15.75" thickBot="1" x14ac:dyDescent="0.3">
      <c r="A2" s="190" t="s">
        <v>110</v>
      </c>
      <c r="B2" s="44"/>
    </row>
    <row r="3" spans="1:8" ht="31.5" customHeight="1" x14ac:dyDescent="0.25">
      <c r="A3" s="190"/>
      <c r="B3" s="219" t="s">
        <v>138</v>
      </c>
      <c r="C3" s="220"/>
      <c r="D3" s="221"/>
      <c r="E3" s="5"/>
      <c r="F3" s="5"/>
    </row>
    <row r="4" spans="1:8" ht="45" x14ac:dyDescent="0.25">
      <c r="A4" s="190"/>
      <c r="B4" s="35" t="s">
        <v>33</v>
      </c>
      <c r="C4" s="36" t="s">
        <v>40</v>
      </c>
      <c r="D4" s="37" t="s">
        <v>39</v>
      </c>
      <c r="E4" s="5"/>
      <c r="F4" s="5"/>
    </row>
    <row r="5" spans="1:8" x14ac:dyDescent="0.25">
      <c r="A5" s="190"/>
      <c r="B5" s="38" t="s">
        <v>41</v>
      </c>
      <c r="C5" s="39" t="s">
        <v>47</v>
      </c>
      <c r="D5" s="40" t="s">
        <v>48</v>
      </c>
      <c r="E5" s="5"/>
      <c r="F5" s="5"/>
    </row>
    <row r="6" spans="1:8" ht="28.5" x14ac:dyDescent="0.25">
      <c r="A6" s="190"/>
      <c r="B6" s="38" t="s">
        <v>42</v>
      </c>
      <c r="C6" s="39" t="s">
        <v>46</v>
      </c>
      <c r="D6" s="40" t="s">
        <v>43</v>
      </c>
      <c r="E6" s="5"/>
      <c r="F6" s="5"/>
    </row>
    <row r="7" spans="1:8" ht="57" x14ac:dyDescent="0.25">
      <c r="A7" s="190"/>
      <c r="B7" s="38" t="s">
        <v>44</v>
      </c>
      <c r="C7" s="39" t="s">
        <v>45</v>
      </c>
      <c r="D7" s="40" t="s">
        <v>49</v>
      </c>
      <c r="E7" s="5"/>
      <c r="F7" s="5"/>
    </row>
    <row r="8" spans="1:8" ht="29.25" thickBot="1" x14ac:dyDescent="0.3">
      <c r="A8" s="190"/>
      <c r="B8" s="41" t="s">
        <v>50</v>
      </c>
      <c r="C8" s="42" t="s">
        <v>51</v>
      </c>
      <c r="D8" s="43" t="s">
        <v>52</v>
      </c>
      <c r="E8" s="5"/>
      <c r="F8" s="5"/>
    </row>
    <row r="9" spans="1:8" x14ac:dyDescent="0.25">
      <c r="A9" s="190"/>
      <c r="B9" s="5"/>
      <c r="C9" s="5"/>
      <c r="D9" s="5"/>
      <c r="E9" s="5"/>
      <c r="F9" s="5"/>
    </row>
    <row r="10" spans="1:8" ht="15.75" thickBot="1" x14ac:dyDescent="0.3">
      <c r="A10" s="190"/>
      <c r="B10" s="44"/>
      <c r="C10" s="5"/>
      <c r="D10" s="5"/>
      <c r="E10" s="5"/>
      <c r="F10" s="5"/>
    </row>
    <row r="11" spans="1:8" ht="31.5" customHeight="1" x14ac:dyDescent="0.25">
      <c r="A11" s="190"/>
      <c r="B11" s="219" t="s">
        <v>139</v>
      </c>
      <c r="C11" s="220"/>
      <c r="D11" s="220"/>
      <c r="E11" s="220"/>
      <c r="F11" s="221"/>
    </row>
    <row r="12" spans="1:8" x14ac:dyDescent="0.25">
      <c r="A12" s="190"/>
      <c r="B12" s="26" t="s">
        <v>38</v>
      </c>
      <c r="C12" s="27" t="s">
        <v>34</v>
      </c>
      <c r="D12" s="27" t="s">
        <v>35</v>
      </c>
      <c r="E12" s="27" t="s">
        <v>36</v>
      </c>
      <c r="F12" s="28" t="s">
        <v>37</v>
      </c>
    </row>
    <row r="13" spans="1:8" ht="28.5" x14ac:dyDescent="0.25">
      <c r="A13" s="190"/>
      <c r="B13" s="29" t="s">
        <v>10</v>
      </c>
      <c r="C13" s="30" t="s">
        <v>12</v>
      </c>
      <c r="D13" s="30" t="s">
        <v>13</v>
      </c>
      <c r="E13" s="30" t="s">
        <v>14</v>
      </c>
      <c r="F13" s="31" t="s">
        <v>16</v>
      </c>
    </row>
    <row r="14" spans="1:8" ht="28.5" x14ac:dyDescent="0.25">
      <c r="A14" s="190"/>
      <c r="B14" s="29" t="s">
        <v>15</v>
      </c>
      <c r="C14" s="30" t="s">
        <v>11</v>
      </c>
      <c r="D14" s="30" t="s">
        <v>13</v>
      </c>
      <c r="E14" s="30" t="s">
        <v>14</v>
      </c>
      <c r="F14" s="31" t="s">
        <v>17</v>
      </c>
    </row>
    <row r="15" spans="1:8" ht="28.5" x14ac:dyDescent="0.25">
      <c r="A15" s="190"/>
      <c r="B15" s="29" t="s">
        <v>19</v>
      </c>
      <c r="C15" s="30" t="s">
        <v>20</v>
      </c>
      <c r="D15" s="30" t="s">
        <v>13</v>
      </c>
      <c r="E15" s="30" t="s">
        <v>14</v>
      </c>
      <c r="F15" s="31" t="s">
        <v>18</v>
      </c>
    </row>
    <row r="16" spans="1:8" x14ac:dyDescent="0.25">
      <c r="A16" s="190"/>
      <c r="B16" s="29" t="s">
        <v>21</v>
      </c>
      <c r="C16" s="30" t="s">
        <v>22</v>
      </c>
      <c r="D16" s="30" t="s">
        <v>13</v>
      </c>
      <c r="E16" s="30" t="s">
        <v>14</v>
      </c>
      <c r="F16" s="31" t="s">
        <v>17</v>
      </c>
    </row>
    <row r="17" spans="1:6" ht="28.5" x14ac:dyDescent="0.25">
      <c r="A17" s="190"/>
      <c r="B17" s="29" t="s">
        <v>23</v>
      </c>
      <c r="C17" s="30" t="s">
        <v>25</v>
      </c>
      <c r="D17" s="30" t="s">
        <v>24</v>
      </c>
      <c r="E17" s="30" t="s">
        <v>14</v>
      </c>
      <c r="F17" s="31" t="s">
        <v>16</v>
      </c>
    </row>
    <row r="18" spans="1:6" ht="28.5" x14ac:dyDescent="0.25">
      <c r="A18" s="190"/>
      <c r="B18" s="29" t="s">
        <v>26</v>
      </c>
      <c r="C18" s="30" t="s">
        <v>27</v>
      </c>
      <c r="D18" s="30" t="s">
        <v>24</v>
      </c>
      <c r="E18" s="30" t="s">
        <v>14</v>
      </c>
      <c r="F18" s="31" t="s">
        <v>28</v>
      </c>
    </row>
    <row r="19" spans="1:6" ht="28.5" x14ac:dyDescent="0.25">
      <c r="A19" s="190"/>
      <c r="B19" s="29" t="s">
        <v>29</v>
      </c>
      <c r="C19" s="30" t="s">
        <v>27</v>
      </c>
      <c r="D19" s="30" t="s">
        <v>24</v>
      </c>
      <c r="E19" s="30" t="s">
        <v>30</v>
      </c>
      <c r="F19" s="31" t="s">
        <v>16</v>
      </c>
    </row>
    <row r="20" spans="1:6" ht="15.75" thickBot="1" x14ac:dyDescent="0.3">
      <c r="A20" s="190"/>
      <c r="B20" s="32" t="s">
        <v>31</v>
      </c>
      <c r="C20" s="33" t="s">
        <v>32</v>
      </c>
      <c r="D20" s="33" t="s">
        <v>24</v>
      </c>
      <c r="E20" s="33" t="s">
        <v>30</v>
      </c>
      <c r="F20" s="34" t="s">
        <v>28</v>
      </c>
    </row>
    <row r="21" spans="1:6" x14ac:dyDescent="0.25">
      <c r="A21" s="190"/>
      <c r="B21" s="30"/>
      <c r="C21" s="30"/>
      <c r="D21" s="30"/>
      <c r="E21" s="30"/>
      <c r="F21" s="30"/>
    </row>
    <row r="22" spans="1:6" x14ac:dyDescent="0.25">
      <c r="A22" s="190"/>
      <c r="C22" s="30"/>
      <c r="D22" s="30"/>
      <c r="E22" s="30"/>
      <c r="F22" s="30"/>
    </row>
    <row r="23" spans="1:6" x14ac:dyDescent="0.25">
      <c r="A23" s="190"/>
      <c r="B23" s="30"/>
      <c r="C23" s="30"/>
      <c r="D23" s="30"/>
      <c r="E23" s="30"/>
      <c r="F23" s="30"/>
    </row>
    <row r="24" spans="1:6" x14ac:dyDescent="0.25">
      <c r="A24" s="190"/>
      <c r="B24" s="30"/>
      <c r="C24" s="30"/>
      <c r="D24" s="30"/>
      <c r="E24" s="30"/>
      <c r="F24" s="30"/>
    </row>
    <row r="25" spans="1:6" x14ac:dyDescent="0.25">
      <c r="A25" s="190"/>
      <c r="B25" s="30"/>
      <c r="C25" s="30"/>
      <c r="D25" s="30"/>
      <c r="E25" s="30"/>
      <c r="F25" s="30"/>
    </row>
    <row r="26" spans="1:6" x14ac:dyDescent="0.25">
      <c r="A26" s="190"/>
      <c r="B26" s="30"/>
      <c r="C26" s="30"/>
      <c r="D26" s="30"/>
      <c r="E26" s="30"/>
      <c r="F26" s="30"/>
    </row>
    <row r="27" spans="1:6" x14ac:dyDescent="0.25">
      <c r="A27" s="190"/>
      <c r="B27" s="30"/>
      <c r="C27" s="30"/>
      <c r="D27" s="30"/>
      <c r="E27" s="30"/>
      <c r="F27" s="30"/>
    </row>
    <row r="28" spans="1:6" x14ac:dyDescent="0.25">
      <c r="A28" s="190"/>
      <c r="B28" s="30"/>
      <c r="C28" s="30"/>
      <c r="D28" s="30"/>
      <c r="E28" s="30"/>
      <c r="F28" s="30"/>
    </row>
    <row r="29" spans="1:6" x14ac:dyDescent="0.25">
      <c r="A29" s="190"/>
      <c r="B29" s="30"/>
      <c r="C29" s="30"/>
      <c r="D29" s="30"/>
      <c r="E29" s="30"/>
      <c r="F29" s="30"/>
    </row>
    <row r="30" spans="1:6" x14ac:dyDescent="0.25">
      <c r="A30" s="190"/>
      <c r="B30" s="30"/>
      <c r="C30" s="30"/>
      <c r="D30" s="30"/>
      <c r="E30" s="30"/>
      <c r="F30" s="30"/>
    </row>
    <row r="31" spans="1:6" x14ac:dyDescent="0.25">
      <c r="A31" s="190"/>
      <c r="B31" s="30"/>
      <c r="C31" s="30"/>
      <c r="D31" s="30"/>
      <c r="E31" s="30"/>
      <c r="F31" s="30"/>
    </row>
    <row r="32" spans="1:6" x14ac:dyDescent="0.25">
      <c r="A32" s="190"/>
      <c r="B32" s="30"/>
      <c r="C32" s="30"/>
      <c r="D32" s="30"/>
      <c r="E32" s="30"/>
      <c r="F32" s="30"/>
    </row>
    <row r="33" spans="1:8" x14ac:dyDescent="0.25">
      <c r="A33" s="190"/>
      <c r="B33" s="30"/>
      <c r="C33" s="30"/>
      <c r="D33" s="30"/>
      <c r="E33" s="30"/>
      <c r="F33" s="30"/>
    </row>
    <row r="34" spans="1:8" x14ac:dyDescent="0.25">
      <c r="A34" s="190"/>
      <c r="B34" s="30"/>
      <c r="C34" s="30"/>
      <c r="D34" s="30"/>
      <c r="E34" s="30"/>
      <c r="F34" s="30"/>
    </row>
    <row r="35" spans="1:8" x14ac:dyDescent="0.25">
      <c r="A35" s="190"/>
      <c r="B35" s="30"/>
      <c r="C35" s="30"/>
      <c r="D35" s="30"/>
      <c r="E35" s="30"/>
      <c r="F35" s="30"/>
    </row>
    <row r="36" spans="1:8" x14ac:dyDescent="0.25">
      <c r="A36" s="190"/>
      <c r="B36" s="30"/>
      <c r="C36" s="30"/>
      <c r="D36" s="30"/>
      <c r="E36" s="30"/>
      <c r="F36" s="30"/>
    </row>
    <row r="37" spans="1:8" x14ac:dyDescent="0.25">
      <c r="A37" s="190"/>
      <c r="B37" s="30"/>
      <c r="C37" s="30"/>
      <c r="D37" s="30"/>
      <c r="E37" s="30"/>
      <c r="F37" s="30"/>
    </row>
    <row r="38" spans="1:8" x14ac:dyDescent="0.25">
      <c r="A38" s="190"/>
      <c r="B38" s="30"/>
      <c r="C38" s="30"/>
      <c r="D38" s="30"/>
      <c r="E38" s="30"/>
      <c r="F38" s="30"/>
    </row>
    <row r="39" spans="1:8" x14ac:dyDescent="0.25">
      <c r="A39" s="190"/>
      <c r="B39" s="30"/>
      <c r="C39" s="30"/>
      <c r="D39" s="30"/>
      <c r="E39" s="30"/>
      <c r="F39" s="30"/>
    </row>
    <row r="40" spans="1:8" x14ac:dyDescent="0.25">
      <c r="A40" s="190"/>
      <c r="B40" s="30"/>
      <c r="C40" s="30"/>
      <c r="D40" s="30"/>
      <c r="E40" s="30"/>
      <c r="F40" s="30"/>
    </row>
    <row r="41" spans="1:8" x14ac:dyDescent="0.25">
      <c r="A41" s="190"/>
    </row>
    <row r="42" spans="1:8" x14ac:dyDescent="0.25">
      <c r="A42" s="190"/>
      <c r="B42" s="83" t="s">
        <v>112</v>
      </c>
    </row>
    <row r="43" spans="1:8" x14ac:dyDescent="0.25">
      <c r="A43" s="190"/>
    </row>
    <row r="44" spans="1:8" ht="15.75" thickBot="1" x14ac:dyDescent="0.3">
      <c r="A44" s="190"/>
      <c r="B44" s="44"/>
    </row>
    <row r="45" spans="1:8" ht="22.5" customHeight="1" x14ac:dyDescent="0.25">
      <c r="A45" s="190"/>
      <c r="B45" s="226" t="s">
        <v>141</v>
      </c>
      <c r="C45" s="227"/>
      <c r="D45" s="227"/>
      <c r="E45" s="227"/>
      <c r="F45" s="227"/>
      <c r="G45" s="227"/>
      <c r="H45" s="228"/>
    </row>
    <row r="46" spans="1:8" x14ac:dyDescent="0.25">
      <c r="A46" s="190"/>
      <c r="B46" s="49" t="s">
        <v>62</v>
      </c>
      <c r="C46" s="50"/>
      <c r="D46" s="51" t="s">
        <v>63</v>
      </c>
      <c r="E46" s="51"/>
      <c r="F46" s="51"/>
      <c r="G46" s="51"/>
      <c r="H46" s="52"/>
    </row>
    <row r="47" spans="1:8" x14ac:dyDescent="0.25">
      <c r="A47" s="190"/>
      <c r="B47" s="53" t="s">
        <v>59</v>
      </c>
      <c r="C47" s="54"/>
      <c r="D47" s="54"/>
      <c r="E47" s="54"/>
      <c r="F47" s="54"/>
      <c r="G47" s="54"/>
      <c r="H47" s="55"/>
    </row>
    <row r="48" spans="1:8" x14ac:dyDescent="0.25">
      <c r="A48" s="190"/>
      <c r="B48" s="56" t="s">
        <v>64</v>
      </c>
      <c r="C48" s="57"/>
      <c r="D48" s="58" t="s">
        <v>65</v>
      </c>
      <c r="E48" s="54"/>
      <c r="F48" s="54"/>
      <c r="G48" s="54"/>
      <c r="H48" s="55"/>
    </row>
    <row r="49" spans="1:8" x14ac:dyDescent="0.25">
      <c r="A49" s="190"/>
      <c r="B49" s="56" t="s">
        <v>68</v>
      </c>
      <c r="C49" s="57"/>
      <c r="D49" s="58" t="s">
        <v>65</v>
      </c>
      <c r="E49" s="54"/>
      <c r="F49" s="54"/>
      <c r="G49" s="54"/>
      <c r="H49" s="55"/>
    </row>
    <row r="50" spans="1:8" x14ac:dyDescent="0.25">
      <c r="A50" s="190"/>
      <c r="B50" s="56" t="s">
        <v>66</v>
      </c>
      <c r="C50" s="57"/>
      <c r="D50" s="58" t="s">
        <v>67</v>
      </c>
      <c r="E50" s="54"/>
      <c r="F50" s="54"/>
      <c r="G50" s="54"/>
      <c r="H50" s="55"/>
    </row>
    <row r="51" spans="1:8" x14ac:dyDescent="0.25">
      <c r="A51" s="190"/>
      <c r="B51" s="56" t="s">
        <v>69</v>
      </c>
      <c r="C51" s="57"/>
      <c r="D51" s="58" t="s">
        <v>65</v>
      </c>
      <c r="E51" s="54"/>
      <c r="F51" s="54"/>
      <c r="G51" s="54"/>
      <c r="H51" s="55"/>
    </row>
    <row r="52" spans="1:8" x14ac:dyDescent="0.25">
      <c r="A52" s="190"/>
      <c r="B52" s="56" t="s">
        <v>70</v>
      </c>
      <c r="C52" s="57"/>
      <c r="D52" s="58" t="s">
        <v>71</v>
      </c>
      <c r="E52" s="54"/>
      <c r="F52" s="54"/>
      <c r="G52" s="54"/>
      <c r="H52" s="55"/>
    </row>
    <row r="53" spans="1:8" ht="15.75" customHeight="1" x14ac:dyDescent="0.25">
      <c r="A53" s="190"/>
      <c r="B53" s="222" t="s">
        <v>73</v>
      </c>
      <c r="C53" s="223"/>
      <c r="D53" s="58" t="s">
        <v>72</v>
      </c>
      <c r="E53" s="54"/>
      <c r="F53" s="54"/>
      <c r="G53" s="54"/>
      <c r="H53" s="55"/>
    </row>
    <row r="54" spans="1:8" x14ac:dyDescent="0.25">
      <c r="A54" s="190"/>
      <c r="B54" s="56" t="s">
        <v>74</v>
      </c>
      <c r="C54" s="57"/>
      <c r="D54" s="58" t="s">
        <v>75</v>
      </c>
      <c r="E54" s="54"/>
      <c r="F54" s="54"/>
      <c r="G54" s="54"/>
      <c r="H54" s="55"/>
    </row>
    <row r="55" spans="1:8" x14ac:dyDescent="0.25">
      <c r="A55" s="190"/>
      <c r="B55" s="56" t="s">
        <v>76</v>
      </c>
      <c r="C55" s="57"/>
      <c r="D55" s="58" t="s">
        <v>77</v>
      </c>
      <c r="E55" s="54"/>
      <c r="F55" s="54"/>
      <c r="G55" s="54"/>
      <c r="H55" s="55"/>
    </row>
    <row r="56" spans="1:8" x14ac:dyDescent="0.25">
      <c r="A56" s="190"/>
      <c r="B56" s="56" t="s">
        <v>78</v>
      </c>
      <c r="C56" s="57"/>
      <c r="D56" s="58" t="s">
        <v>77</v>
      </c>
      <c r="E56" s="54"/>
      <c r="F56" s="54"/>
      <c r="G56" s="54"/>
      <c r="H56" s="55"/>
    </row>
    <row r="57" spans="1:8" x14ac:dyDescent="0.25">
      <c r="A57" s="190"/>
      <c r="B57" s="56" t="s">
        <v>79</v>
      </c>
      <c r="C57" s="57"/>
      <c r="D57" s="58" t="s">
        <v>80</v>
      </c>
      <c r="E57" s="54"/>
      <c r="F57" s="54"/>
      <c r="G57" s="54"/>
      <c r="H57" s="55"/>
    </row>
    <row r="58" spans="1:8" x14ac:dyDescent="0.25">
      <c r="A58" s="190"/>
      <c r="B58" s="53" t="s">
        <v>60</v>
      </c>
      <c r="C58" s="54"/>
      <c r="D58" s="58"/>
      <c r="E58" s="54"/>
      <c r="F58" s="54"/>
      <c r="G58" s="54"/>
      <c r="H58" s="55"/>
    </row>
    <row r="59" spans="1:8" ht="15.75" thickBot="1" x14ac:dyDescent="0.3">
      <c r="A59" s="190"/>
      <c r="B59" s="224" t="s">
        <v>81</v>
      </c>
      <c r="C59" s="225"/>
      <c r="D59" s="59" t="s">
        <v>61</v>
      </c>
      <c r="E59" s="60"/>
      <c r="F59" s="60"/>
      <c r="G59" s="60"/>
      <c r="H59" s="61"/>
    </row>
    <row r="60" spans="1:8" x14ac:dyDescent="0.25">
      <c r="A60" s="190"/>
      <c r="B60" s="212"/>
      <c r="C60" s="212"/>
      <c r="D60" s="212"/>
      <c r="E60" s="212"/>
      <c r="F60" s="212"/>
      <c r="G60" s="212"/>
      <c r="H60" s="212"/>
    </row>
    <row r="61" spans="1:8" x14ac:dyDescent="0.25">
      <c r="A61" s="190"/>
    </row>
    <row r="62" spans="1:8" x14ac:dyDescent="0.25">
      <c r="A62" s="190"/>
      <c r="B62" s="83" t="s">
        <v>143</v>
      </c>
      <c r="C62" s="83" t="s">
        <v>142</v>
      </c>
    </row>
    <row r="63" spans="1:8" ht="15.75" thickBot="1" x14ac:dyDescent="0.3">
      <c r="A63" s="190"/>
    </row>
    <row r="64" spans="1:8" ht="31.5" customHeight="1" x14ac:dyDescent="0.25">
      <c r="A64" s="190"/>
      <c r="B64" s="219" t="s">
        <v>140</v>
      </c>
      <c r="C64" s="220"/>
      <c r="D64" s="220"/>
      <c r="E64" s="220"/>
      <c r="F64" s="220"/>
      <c r="G64" s="220"/>
      <c r="H64" s="221"/>
    </row>
    <row r="65" spans="1:8" x14ac:dyDescent="0.25">
      <c r="A65" s="190"/>
      <c r="B65" s="70"/>
      <c r="C65" s="229" t="s">
        <v>84</v>
      </c>
      <c r="D65" s="230"/>
      <c r="E65" s="230"/>
      <c r="F65" s="230"/>
      <c r="G65" s="230"/>
      <c r="H65" s="231"/>
    </row>
    <row r="66" spans="1:8" x14ac:dyDescent="0.25">
      <c r="A66" s="190"/>
      <c r="B66" s="71"/>
      <c r="C66" s="213" t="s">
        <v>86</v>
      </c>
      <c r="D66" s="214"/>
      <c r="E66" s="215"/>
      <c r="F66" s="216" t="s">
        <v>87</v>
      </c>
      <c r="G66" s="217"/>
      <c r="H66" s="218"/>
    </row>
    <row r="67" spans="1:8" x14ac:dyDescent="0.25">
      <c r="A67" s="190"/>
      <c r="B67" s="71" t="s">
        <v>88</v>
      </c>
      <c r="C67" s="62">
        <v>2</v>
      </c>
      <c r="D67" s="54">
        <v>4</v>
      </c>
      <c r="E67" s="63">
        <v>6</v>
      </c>
      <c r="F67" s="62">
        <v>2</v>
      </c>
      <c r="G67" s="64">
        <v>4</v>
      </c>
      <c r="H67" s="55">
        <v>6</v>
      </c>
    </row>
    <row r="68" spans="1:8" x14ac:dyDescent="0.25">
      <c r="A68" s="190"/>
      <c r="B68" s="71" t="s">
        <v>89</v>
      </c>
      <c r="C68" s="62">
        <v>3600</v>
      </c>
      <c r="D68" s="54">
        <v>1800</v>
      </c>
      <c r="E68" s="63">
        <v>1200</v>
      </c>
      <c r="F68" s="62">
        <v>3600</v>
      </c>
      <c r="G68" s="65">
        <v>1800</v>
      </c>
      <c r="H68" s="55">
        <v>1200</v>
      </c>
    </row>
    <row r="69" spans="1:8" x14ac:dyDescent="0.25">
      <c r="A69" s="190"/>
      <c r="B69" s="71" t="s">
        <v>85</v>
      </c>
      <c r="C69" s="62"/>
      <c r="D69" s="54"/>
      <c r="E69" s="63"/>
      <c r="F69" s="62"/>
      <c r="G69" s="64"/>
      <c r="H69" s="55"/>
    </row>
    <row r="70" spans="1:8" x14ac:dyDescent="0.25">
      <c r="A70" s="190"/>
      <c r="B70" s="72">
        <v>1</v>
      </c>
      <c r="C70" s="66">
        <v>82.5</v>
      </c>
      <c r="D70" s="67">
        <v>80</v>
      </c>
      <c r="E70" s="68">
        <v>75.5</v>
      </c>
      <c r="F70" s="66">
        <v>82.5</v>
      </c>
      <c r="G70" s="69">
        <v>80</v>
      </c>
      <c r="H70" s="73">
        <v>80</v>
      </c>
    </row>
    <row r="71" spans="1:8" x14ac:dyDescent="0.25">
      <c r="A71" s="190"/>
      <c r="B71" s="74">
        <v>1.5</v>
      </c>
      <c r="C71" s="66">
        <v>82.5</v>
      </c>
      <c r="D71" s="67">
        <v>84</v>
      </c>
      <c r="E71" s="68">
        <v>84</v>
      </c>
      <c r="F71" s="66">
        <v>82.5</v>
      </c>
      <c r="G71" s="69">
        <v>84</v>
      </c>
      <c r="H71" s="73">
        <v>85.5</v>
      </c>
    </row>
    <row r="72" spans="1:8" x14ac:dyDescent="0.25">
      <c r="A72" s="190"/>
      <c r="B72" s="72" t="s">
        <v>90</v>
      </c>
      <c r="C72" s="66">
        <v>84</v>
      </c>
      <c r="D72" s="67">
        <v>84</v>
      </c>
      <c r="E72" s="68">
        <v>85.5</v>
      </c>
      <c r="F72" s="66">
        <v>84</v>
      </c>
      <c r="G72" s="69">
        <v>84</v>
      </c>
      <c r="H72" s="73">
        <v>86.5</v>
      </c>
    </row>
    <row r="73" spans="1:8" x14ac:dyDescent="0.25">
      <c r="A73" s="190"/>
      <c r="B73" s="72" t="s">
        <v>91</v>
      </c>
      <c r="C73" s="66">
        <v>84</v>
      </c>
      <c r="D73" s="67">
        <v>86.5</v>
      </c>
      <c r="E73" s="68">
        <v>86.5</v>
      </c>
      <c r="F73" s="66">
        <v>85.5</v>
      </c>
      <c r="G73" s="69">
        <v>87.5</v>
      </c>
      <c r="H73" s="73">
        <v>87.5</v>
      </c>
    </row>
    <row r="74" spans="1:8" x14ac:dyDescent="0.25">
      <c r="A74" s="190"/>
      <c r="B74" s="72" t="s">
        <v>92</v>
      </c>
      <c r="C74" s="66">
        <v>85.5</v>
      </c>
      <c r="D74" s="67">
        <v>87.5</v>
      </c>
      <c r="E74" s="68">
        <v>87.5</v>
      </c>
      <c r="F74" s="66">
        <v>87.5</v>
      </c>
      <c r="G74" s="69">
        <v>87.5</v>
      </c>
      <c r="H74" s="73">
        <v>87.5</v>
      </c>
    </row>
    <row r="75" spans="1:8" x14ac:dyDescent="0.25">
      <c r="A75" s="190"/>
      <c r="B75" s="74">
        <v>7.5</v>
      </c>
      <c r="C75" s="66">
        <v>87.5</v>
      </c>
      <c r="D75" s="67">
        <v>88.5</v>
      </c>
      <c r="E75" s="68">
        <v>88.5</v>
      </c>
      <c r="F75" s="66">
        <v>88.5</v>
      </c>
      <c r="G75" s="69">
        <v>89.5</v>
      </c>
      <c r="H75" s="73">
        <v>89.5</v>
      </c>
    </row>
    <row r="76" spans="1:8" x14ac:dyDescent="0.25">
      <c r="A76" s="190"/>
      <c r="B76" s="74">
        <v>10</v>
      </c>
      <c r="C76" s="66">
        <v>88.5</v>
      </c>
      <c r="D76" s="67">
        <v>89.5</v>
      </c>
      <c r="E76" s="68">
        <v>90.2</v>
      </c>
      <c r="F76" s="66">
        <v>89.5</v>
      </c>
      <c r="G76" s="69">
        <v>89.5</v>
      </c>
      <c r="H76" s="73">
        <v>89.5</v>
      </c>
    </row>
    <row r="77" spans="1:8" x14ac:dyDescent="0.25">
      <c r="A77" s="190"/>
      <c r="B77" s="74">
        <v>15</v>
      </c>
      <c r="C77" s="66">
        <v>89.5</v>
      </c>
      <c r="D77" s="67">
        <v>91</v>
      </c>
      <c r="E77" s="68">
        <v>90.2</v>
      </c>
      <c r="F77" s="66">
        <v>90.2</v>
      </c>
      <c r="G77" s="69">
        <v>91</v>
      </c>
      <c r="H77" s="73">
        <v>90.2</v>
      </c>
    </row>
    <row r="78" spans="1:8" x14ac:dyDescent="0.25">
      <c r="A78" s="190"/>
      <c r="B78" s="74">
        <v>20</v>
      </c>
      <c r="C78" s="66">
        <v>90.2</v>
      </c>
      <c r="D78" s="67">
        <v>91</v>
      </c>
      <c r="E78" s="68">
        <v>91</v>
      </c>
      <c r="F78" s="66">
        <v>90.2</v>
      </c>
      <c r="G78" s="69">
        <v>91</v>
      </c>
      <c r="H78" s="73">
        <v>90.2</v>
      </c>
    </row>
    <row r="79" spans="1:8" x14ac:dyDescent="0.25">
      <c r="A79" s="190"/>
      <c r="B79" s="74">
        <v>25</v>
      </c>
      <c r="C79" s="66">
        <v>91</v>
      </c>
      <c r="D79" s="67">
        <v>91.7</v>
      </c>
      <c r="E79" s="68">
        <v>91.7</v>
      </c>
      <c r="F79" s="66">
        <v>91</v>
      </c>
      <c r="G79" s="69">
        <v>92.4</v>
      </c>
      <c r="H79" s="73">
        <v>91.7</v>
      </c>
    </row>
    <row r="80" spans="1:8" x14ac:dyDescent="0.25">
      <c r="A80" s="190"/>
      <c r="B80" s="74">
        <v>30</v>
      </c>
      <c r="C80" s="66">
        <v>91</v>
      </c>
      <c r="D80" s="67">
        <v>92.4</v>
      </c>
      <c r="E80" s="68">
        <v>92.4</v>
      </c>
      <c r="F80" s="66">
        <v>91</v>
      </c>
      <c r="G80" s="69">
        <v>92.4</v>
      </c>
      <c r="H80" s="73">
        <v>91.7</v>
      </c>
    </row>
    <row r="81" spans="1:8" x14ac:dyDescent="0.25">
      <c r="A81" s="190"/>
      <c r="B81" s="74">
        <v>40</v>
      </c>
      <c r="C81" s="66">
        <v>91.7</v>
      </c>
      <c r="D81" s="67">
        <v>93</v>
      </c>
      <c r="E81" s="68">
        <v>93</v>
      </c>
      <c r="F81" s="66">
        <v>91.7</v>
      </c>
      <c r="G81" s="69">
        <v>93</v>
      </c>
      <c r="H81" s="73">
        <v>93</v>
      </c>
    </row>
    <row r="82" spans="1:8" x14ac:dyDescent="0.25">
      <c r="A82" s="190"/>
      <c r="B82" s="74">
        <v>50</v>
      </c>
      <c r="C82" s="66">
        <v>92.4</v>
      </c>
      <c r="D82" s="67">
        <v>93</v>
      </c>
      <c r="E82" s="68">
        <v>93</v>
      </c>
      <c r="F82" s="66">
        <v>92.4</v>
      </c>
      <c r="G82" s="69">
        <v>93</v>
      </c>
      <c r="H82" s="73">
        <v>93</v>
      </c>
    </row>
    <row r="83" spans="1:8" x14ac:dyDescent="0.25">
      <c r="A83" s="190"/>
      <c r="B83" s="74">
        <v>60</v>
      </c>
      <c r="C83" s="66">
        <v>93</v>
      </c>
      <c r="D83" s="67">
        <v>93.6</v>
      </c>
      <c r="E83" s="68">
        <v>93.6</v>
      </c>
      <c r="F83" s="66">
        <v>93</v>
      </c>
      <c r="G83" s="69">
        <v>93.6</v>
      </c>
      <c r="H83" s="73">
        <v>93.6</v>
      </c>
    </row>
    <row r="84" spans="1:8" x14ac:dyDescent="0.25">
      <c r="A84" s="190"/>
      <c r="B84" s="74">
        <v>75</v>
      </c>
      <c r="C84" s="66">
        <v>93</v>
      </c>
      <c r="D84" s="67">
        <v>94.1</v>
      </c>
      <c r="E84" s="68">
        <v>93.6</v>
      </c>
      <c r="F84" s="66">
        <v>93</v>
      </c>
      <c r="G84" s="69">
        <v>94.1</v>
      </c>
      <c r="H84" s="73">
        <v>93.6</v>
      </c>
    </row>
    <row r="85" spans="1:8" x14ac:dyDescent="0.25">
      <c r="A85" s="190"/>
      <c r="B85" s="74">
        <v>100</v>
      </c>
      <c r="C85" s="66">
        <v>93</v>
      </c>
      <c r="D85" s="67">
        <v>94.1</v>
      </c>
      <c r="E85" s="68">
        <v>94.1</v>
      </c>
      <c r="F85" s="66">
        <v>93.6</v>
      </c>
      <c r="G85" s="69">
        <v>94.5</v>
      </c>
      <c r="H85" s="73">
        <v>94.1</v>
      </c>
    </row>
    <row r="86" spans="1:8" x14ac:dyDescent="0.25">
      <c r="A86" s="190"/>
      <c r="B86" s="74">
        <v>125</v>
      </c>
      <c r="C86" s="66">
        <v>93.6</v>
      </c>
      <c r="D86" s="67">
        <v>94.5</v>
      </c>
      <c r="E86" s="68">
        <v>94.1</v>
      </c>
      <c r="F86" s="66">
        <v>94.5</v>
      </c>
      <c r="G86" s="69">
        <v>94.5</v>
      </c>
      <c r="H86" s="73">
        <v>94.1</v>
      </c>
    </row>
    <row r="87" spans="1:8" x14ac:dyDescent="0.25">
      <c r="A87" s="190"/>
      <c r="B87" s="74">
        <v>150</v>
      </c>
      <c r="C87" s="66">
        <v>93.6</v>
      </c>
      <c r="D87" s="67">
        <v>95</v>
      </c>
      <c r="E87" s="68">
        <v>94.5</v>
      </c>
      <c r="F87" s="66">
        <v>94.5</v>
      </c>
      <c r="G87" s="69">
        <v>95</v>
      </c>
      <c r="H87" s="73">
        <v>95</v>
      </c>
    </row>
    <row r="88" spans="1:8" ht="15.75" thickBot="1" x14ac:dyDescent="0.3">
      <c r="A88" s="190"/>
      <c r="B88" s="75">
        <v>200</v>
      </c>
      <c r="C88" s="76">
        <v>94.5</v>
      </c>
      <c r="D88" s="77">
        <v>95</v>
      </c>
      <c r="E88" s="78">
        <v>94.5</v>
      </c>
      <c r="F88" s="76">
        <v>95</v>
      </c>
      <c r="G88" s="79">
        <v>95</v>
      </c>
      <c r="H88" s="80">
        <v>95</v>
      </c>
    </row>
    <row r="89" spans="1:8" x14ac:dyDescent="0.25">
      <c r="A89" s="190"/>
    </row>
    <row r="90" spans="1:8" ht="15" customHeight="1" x14ac:dyDescent="0.25">
      <c r="A90" s="190"/>
      <c r="B90" s="83" t="s">
        <v>144</v>
      </c>
      <c r="C90" s="83" t="s">
        <v>143</v>
      </c>
      <c r="D90" s="83" t="s">
        <v>142</v>
      </c>
    </row>
    <row r="91" spans="1:8" s="2" customFormat="1" x14ac:dyDescent="0.25">
      <c r="A91" s="190"/>
      <c r="B91" s="84"/>
      <c r="C91" s="84"/>
    </row>
    <row r="92" spans="1:8" x14ac:dyDescent="0.25">
      <c r="A92" s="190"/>
      <c r="B92" s="85" t="s">
        <v>125</v>
      </c>
      <c r="C92" s="86"/>
      <c r="D92" s="86"/>
      <c r="E92" s="86"/>
      <c r="F92" s="86"/>
      <c r="G92" s="86"/>
      <c r="H92" s="86"/>
    </row>
    <row r="93" spans="1:8" x14ac:dyDescent="0.25">
      <c r="A93" s="190"/>
      <c r="B93" t="s">
        <v>123</v>
      </c>
    </row>
    <row r="94" spans="1:8" x14ac:dyDescent="0.25">
      <c r="A94" s="190"/>
      <c r="B94" s="25" t="s">
        <v>124</v>
      </c>
    </row>
    <row r="95" spans="1:8" x14ac:dyDescent="0.25">
      <c r="A95" s="190"/>
    </row>
    <row r="96" spans="1:8" x14ac:dyDescent="0.25">
      <c r="A96" s="190"/>
    </row>
    <row r="97" spans="1:1" x14ac:dyDescent="0.25">
      <c r="A97" s="190"/>
    </row>
    <row r="98" spans="1:1" hidden="1" x14ac:dyDescent="0.25">
      <c r="A98" s="190"/>
    </row>
    <row r="99" spans="1:1" hidden="1" x14ac:dyDescent="0.25">
      <c r="A99" s="190"/>
    </row>
    <row r="100" spans="1:1" hidden="1" x14ac:dyDescent="0.25">
      <c r="A100" s="190"/>
    </row>
    <row r="101" spans="1:1" hidden="1" x14ac:dyDescent="0.25">
      <c r="A101" s="190"/>
    </row>
    <row r="102" spans="1:1" hidden="1" x14ac:dyDescent="0.25">
      <c r="A102" s="190"/>
    </row>
    <row r="103" spans="1:1" hidden="1" x14ac:dyDescent="0.25">
      <c r="A103" s="190"/>
    </row>
    <row r="104" spans="1:1" hidden="1" x14ac:dyDescent="0.25">
      <c r="A104" s="190"/>
    </row>
    <row r="105" spans="1:1" hidden="1" x14ac:dyDescent="0.25">
      <c r="A105" s="190"/>
    </row>
    <row r="106" spans="1:1" hidden="1" x14ac:dyDescent="0.25">
      <c r="A106" s="190"/>
    </row>
    <row r="107" spans="1:1" hidden="1" x14ac:dyDescent="0.25">
      <c r="A107" s="190"/>
    </row>
    <row r="108" spans="1:1" hidden="1" x14ac:dyDescent="0.25">
      <c r="A108" s="190"/>
    </row>
    <row r="109" spans="1:1" hidden="1" x14ac:dyDescent="0.25">
      <c r="A109" s="190"/>
    </row>
    <row r="110" spans="1:1" hidden="1" x14ac:dyDescent="0.25">
      <c r="A110" s="190"/>
    </row>
    <row r="111" spans="1:1" hidden="1" x14ac:dyDescent="0.25">
      <c r="A111" s="190"/>
    </row>
    <row r="112" spans="1:1" hidden="1" x14ac:dyDescent="0.25">
      <c r="A112" s="190"/>
    </row>
    <row r="113" spans="1:1" hidden="1" x14ac:dyDescent="0.25">
      <c r="A113" s="190"/>
    </row>
    <row r="114" spans="1:1" hidden="1" x14ac:dyDescent="0.25">
      <c r="A114" s="190"/>
    </row>
    <row r="115" spans="1:1" hidden="1" x14ac:dyDescent="0.25">
      <c r="A115" s="190"/>
    </row>
    <row r="116" spans="1:1" hidden="1" x14ac:dyDescent="0.25">
      <c r="A116" s="190"/>
    </row>
    <row r="117" spans="1:1" hidden="1" x14ac:dyDescent="0.25">
      <c r="A117" s="190"/>
    </row>
    <row r="118" spans="1:1" hidden="1" x14ac:dyDescent="0.25">
      <c r="A118" s="190"/>
    </row>
    <row r="119" spans="1:1" hidden="1" x14ac:dyDescent="0.25">
      <c r="A119" s="190"/>
    </row>
    <row r="120" spans="1:1" hidden="1" x14ac:dyDescent="0.25">
      <c r="A120" s="190"/>
    </row>
    <row r="121" spans="1:1" hidden="1" x14ac:dyDescent="0.25">
      <c r="A121" s="190"/>
    </row>
    <row r="122" spans="1:1" hidden="1" x14ac:dyDescent="0.25">
      <c r="A122" s="190"/>
    </row>
    <row r="123" spans="1:1" hidden="1" x14ac:dyDescent="0.25">
      <c r="A123" s="190"/>
    </row>
    <row r="124" spans="1:1" hidden="1" x14ac:dyDescent="0.25">
      <c r="A124" s="190"/>
    </row>
    <row r="125" spans="1:1" hidden="1" x14ac:dyDescent="0.25">
      <c r="A125" s="190"/>
    </row>
    <row r="126" spans="1:1" hidden="1" x14ac:dyDescent="0.25">
      <c r="A126" s="190"/>
    </row>
    <row r="127" spans="1:1" hidden="1" x14ac:dyDescent="0.25">
      <c r="A127" s="190"/>
    </row>
    <row r="128" spans="1:1" hidden="1" x14ac:dyDescent="0.25">
      <c r="A128" s="190"/>
    </row>
    <row r="129" spans="1:1" hidden="1" x14ac:dyDescent="0.25">
      <c r="A129" s="190"/>
    </row>
    <row r="130" spans="1:1" hidden="1" x14ac:dyDescent="0.25">
      <c r="A130" s="190"/>
    </row>
    <row r="131" spans="1:1" hidden="1" x14ac:dyDescent="0.25">
      <c r="A131" s="190"/>
    </row>
    <row r="132" spans="1:1" hidden="1" x14ac:dyDescent="0.25">
      <c r="A132" s="190"/>
    </row>
    <row r="133" spans="1:1" hidden="1" x14ac:dyDescent="0.25">
      <c r="A133" s="190"/>
    </row>
    <row r="134" spans="1:1" hidden="1" x14ac:dyDescent="0.25">
      <c r="A134" s="190"/>
    </row>
    <row r="135" spans="1:1" hidden="1" x14ac:dyDescent="0.25">
      <c r="A135" s="190"/>
    </row>
    <row r="136" spans="1:1" hidden="1" x14ac:dyDescent="0.25">
      <c r="A136" s="190"/>
    </row>
    <row r="137" spans="1:1" hidden="1" x14ac:dyDescent="0.25">
      <c r="A137" s="190"/>
    </row>
    <row r="138" spans="1:1" hidden="1" x14ac:dyDescent="0.25">
      <c r="A138" s="190"/>
    </row>
    <row r="139" spans="1:1" hidden="1" x14ac:dyDescent="0.25">
      <c r="A139" s="190"/>
    </row>
    <row r="140" spans="1:1" hidden="1" x14ac:dyDescent="0.25">
      <c r="A140" s="190"/>
    </row>
    <row r="141" spans="1:1" hidden="1" x14ac:dyDescent="0.25">
      <c r="A141" s="190"/>
    </row>
    <row r="142" spans="1:1" hidden="1" x14ac:dyDescent="0.25">
      <c r="A142" s="190"/>
    </row>
    <row r="143" spans="1:1" hidden="1" x14ac:dyDescent="0.25">
      <c r="A143" s="190"/>
    </row>
    <row r="144" spans="1:1" hidden="1" x14ac:dyDescent="0.25">
      <c r="A144" s="190"/>
    </row>
    <row r="145" spans="1:1" hidden="1" x14ac:dyDescent="0.25">
      <c r="A145" s="190"/>
    </row>
    <row r="146" spans="1:1" hidden="1" x14ac:dyDescent="0.25">
      <c r="A146" s="190"/>
    </row>
    <row r="147" spans="1:1" hidden="1" x14ac:dyDescent="0.25">
      <c r="A147" s="190"/>
    </row>
    <row r="148" spans="1:1" hidden="1" x14ac:dyDescent="0.25">
      <c r="A148" s="190"/>
    </row>
    <row r="149" spans="1:1" hidden="1" x14ac:dyDescent="0.25">
      <c r="A149" s="190"/>
    </row>
    <row r="150" spans="1:1" hidden="1" x14ac:dyDescent="0.25">
      <c r="A150" s="190"/>
    </row>
    <row r="151" spans="1:1" hidden="1" x14ac:dyDescent="0.25">
      <c r="A151" s="190"/>
    </row>
    <row r="152" spans="1:1" hidden="1" x14ac:dyDescent="0.25">
      <c r="A152" s="190"/>
    </row>
    <row r="153" spans="1:1" hidden="1" x14ac:dyDescent="0.25">
      <c r="A153" s="190"/>
    </row>
    <row r="154" spans="1:1" hidden="1" x14ac:dyDescent="0.25">
      <c r="A154" s="190"/>
    </row>
    <row r="155" spans="1:1" hidden="1" x14ac:dyDescent="0.25">
      <c r="A155" s="190"/>
    </row>
    <row r="156" spans="1:1" hidden="1" x14ac:dyDescent="0.25">
      <c r="A156" s="190"/>
    </row>
    <row r="157" spans="1:1" hidden="1" x14ac:dyDescent="0.25">
      <c r="A157" s="190"/>
    </row>
    <row r="158" spans="1:1" hidden="1" x14ac:dyDescent="0.25">
      <c r="A158" s="190"/>
    </row>
    <row r="159" spans="1:1" hidden="1" x14ac:dyDescent="0.25">
      <c r="A159" s="190"/>
    </row>
    <row r="160" spans="1:1" hidden="1" x14ac:dyDescent="0.25">
      <c r="A160" s="190"/>
    </row>
    <row r="161" spans="1:1" hidden="1" x14ac:dyDescent="0.25">
      <c r="A161" s="190"/>
    </row>
    <row r="162" spans="1:1" hidden="1" x14ac:dyDescent="0.25">
      <c r="A162" s="190"/>
    </row>
    <row r="163" spans="1:1" hidden="1" x14ac:dyDescent="0.25">
      <c r="A163" s="190"/>
    </row>
    <row r="164" spans="1:1" hidden="1" x14ac:dyDescent="0.25">
      <c r="A164" s="190"/>
    </row>
    <row r="165" spans="1:1" hidden="1" x14ac:dyDescent="0.25">
      <c r="A165" s="190"/>
    </row>
    <row r="166" spans="1:1" hidden="1" x14ac:dyDescent="0.25">
      <c r="A166" s="190"/>
    </row>
    <row r="167" spans="1:1" hidden="1" x14ac:dyDescent="0.25">
      <c r="A167" s="190"/>
    </row>
    <row r="168" spans="1:1" hidden="1" x14ac:dyDescent="0.25">
      <c r="A168" s="190"/>
    </row>
    <row r="169" spans="1:1" hidden="1" x14ac:dyDescent="0.25">
      <c r="A169" s="190"/>
    </row>
    <row r="170" spans="1:1" hidden="1" x14ac:dyDescent="0.25">
      <c r="A170" s="190"/>
    </row>
    <row r="171" spans="1:1" hidden="1" x14ac:dyDescent="0.25">
      <c r="A171" s="190"/>
    </row>
    <row r="172" spans="1:1" hidden="1" x14ac:dyDescent="0.25">
      <c r="A172" s="190"/>
    </row>
    <row r="173" spans="1:1" hidden="1" x14ac:dyDescent="0.25">
      <c r="A173" s="190"/>
    </row>
    <row r="174" spans="1:1" hidden="1" x14ac:dyDescent="0.25">
      <c r="A174" s="190"/>
    </row>
    <row r="175" spans="1:1" hidden="1" x14ac:dyDescent="0.25">
      <c r="A175" s="190"/>
    </row>
    <row r="176" spans="1:1" hidden="1" x14ac:dyDescent="0.25">
      <c r="A176" s="190"/>
    </row>
    <row r="177" spans="1:1" hidden="1" x14ac:dyDescent="0.25">
      <c r="A177" s="190"/>
    </row>
    <row r="178" spans="1:1" hidden="1" x14ac:dyDescent="0.25">
      <c r="A178" s="190"/>
    </row>
    <row r="179" spans="1:1" hidden="1" x14ac:dyDescent="0.25">
      <c r="A179" s="190"/>
    </row>
    <row r="180" spans="1:1" hidden="1" x14ac:dyDescent="0.25">
      <c r="A180" s="190"/>
    </row>
    <row r="181" spans="1:1" hidden="1" x14ac:dyDescent="0.25">
      <c r="A181" s="190"/>
    </row>
    <row r="182" spans="1:1" hidden="1" x14ac:dyDescent="0.25">
      <c r="A182" s="190"/>
    </row>
    <row r="183" spans="1:1" hidden="1" x14ac:dyDescent="0.25">
      <c r="A183" s="190"/>
    </row>
    <row r="184" spans="1:1" hidden="1" x14ac:dyDescent="0.25">
      <c r="A184" s="190"/>
    </row>
    <row r="185" spans="1:1" hidden="1" x14ac:dyDescent="0.25">
      <c r="A185" s="190"/>
    </row>
    <row r="186" spans="1:1" hidden="1" x14ac:dyDescent="0.25">
      <c r="A186" s="190"/>
    </row>
    <row r="187" spans="1:1" hidden="1" x14ac:dyDescent="0.25">
      <c r="A187" s="190"/>
    </row>
    <row r="188" spans="1:1" hidden="1" x14ac:dyDescent="0.25">
      <c r="A188" s="190"/>
    </row>
    <row r="189" spans="1:1" hidden="1" x14ac:dyDescent="0.25">
      <c r="A189" s="190"/>
    </row>
    <row r="190" spans="1:1" hidden="1" x14ac:dyDescent="0.25">
      <c r="A190" s="190"/>
    </row>
    <row r="191" spans="1:1" hidden="1" x14ac:dyDescent="0.25">
      <c r="A191" s="190"/>
    </row>
    <row r="192" spans="1:1" hidden="1" x14ac:dyDescent="0.25">
      <c r="A192" s="190"/>
    </row>
    <row r="193" spans="1:1" hidden="1" x14ac:dyDescent="0.25">
      <c r="A193" s="190"/>
    </row>
    <row r="194" spans="1:1" hidden="1" x14ac:dyDescent="0.25">
      <c r="A194" s="190"/>
    </row>
    <row r="195" spans="1:1" hidden="1" x14ac:dyDescent="0.25">
      <c r="A195" s="190"/>
    </row>
    <row r="196" spans="1:1" hidden="1" x14ac:dyDescent="0.25">
      <c r="A196" s="190"/>
    </row>
    <row r="197" spans="1:1" hidden="1" x14ac:dyDescent="0.25">
      <c r="A197" s="190"/>
    </row>
    <row r="198" spans="1:1" hidden="1" x14ac:dyDescent="0.25">
      <c r="A198" s="190"/>
    </row>
    <row r="199" spans="1:1" hidden="1" x14ac:dyDescent="0.25">
      <c r="A199" s="190"/>
    </row>
    <row r="200" spans="1:1" hidden="1" x14ac:dyDescent="0.25">
      <c r="A200" s="190"/>
    </row>
    <row r="201" spans="1:1" hidden="1" x14ac:dyDescent="0.25">
      <c r="A201" s="190"/>
    </row>
    <row r="202" spans="1:1" hidden="1" x14ac:dyDescent="0.25">
      <c r="A202" s="190"/>
    </row>
    <row r="203" spans="1:1" hidden="1" x14ac:dyDescent="0.25">
      <c r="A203" s="190"/>
    </row>
    <row r="204" spans="1:1" hidden="1" x14ac:dyDescent="0.25">
      <c r="A204" s="190"/>
    </row>
    <row r="205" spans="1:1" hidden="1" x14ac:dyDescent="0.25">
      <c r="A205" s="190"/>
    </row>
    <row r="206" spans="1:1" hidden="1" x14ac:dyDescent="0.25">
      <c r="A206" s="190"/>
    </row>
    <row r="207" spans="1:1" hidden="1" x14ac:dyDescent="0.25">
      <c r="A207" s="190"/>
    </row>
    <row r="208" spans="1:1" hidden="1" x14ac:dyDescent="0.25">
      <c r="A208" s="190"/>
    </row>
    <row r="209" spans="1:1" hidden="1" x14ac:dyDescent="0.25">
      <c r="A209" s="190"/>
    </row>
    <row r="210" spans="1:1" hidden="1" x14ac:dyDescent="0.25">
      <c r="A210" s="190"/>
    </row>
    <row r="211" spans="1:1" hidden="1" x14ac:dyDescent="0.25">
      <c r="A211" s="190"/>
    </row>
    <row r="212" spans="1:1" hidden="1" x14ac:dyDescent="0.25">
      <c r="A212" s="190"/>
    </row>
    <row r="213" spans="1:1" hidden="1" x14ac:dyDescent="0.25">
      <c r="A213" s="190"/>
    </row>
    <row r="214" spans="1:1" hidden="1" x14ac:dyDescent="0.25">
      <c r="A214" s="190"/>
    </row>
    <row r="215" spans="1:1" hidden="1" x14ac:dyDescent="0.25">
      <c r="A215" s="190"/>
    </row>
    <row r="216" spans="1:1" hidden="1" x14ac:dyDescent="0.25">
      <c r="A216" s="190"/>
    </row>
    <row r="217" spans="1:1" hidden="1" x14ac:dyDescent="0.25">
      <c r="A217" s="190"/>
    </row>
    <row r="218" spans="1:1" hidden="1" x14ac:dyDescent="0.25">
      <c r="A218" s="190"/>
    </row>
    <row r="219" spans="1:1" hidden="1" x14ac:dyDescent="0.25">
      <c r="A219" s="190"/>
    </row>
    <row r="220" spans="1:1" hidden="1" x14ac:dyDescent="0.25">
      <c r="A220" s="190"/>
    </row>
    <row r="221" spans="1:1" hidden="1" x14ac:dyDescent="0.25">
      <c r="A221" s="190"/>
    </row>
    <row r="222" spans="1:1" hidden="1" x14ac:dyDescent="0.25">
      <c r="A222" s="190"/>
    </row>
    <row r="223" spans="1:1" hidden="1" x14ac:dyDescent="0.25">
      <c r="A223" s="190"/>
    </row>
    <row r="224" spans="1:1" hidden="1" x14ac:dyDescent="0.25">
      <c r="A224" s="190"/>
    </row>
    <row r="225" spans="1:1" hidden="1" x14ac:dyDescent="0.25">
      <c r="A225" s="190"/>
    </row>
    <row r="226" spans="1:1" hidden="1" x14ac:dyDescent="0.25">
      <c r="A226" s="190"/>
    </row>
    <row r="227" spans="1:1" hidden="1" x14ac:dyDescent="0.25">
      <c r="A227" s="190"/>
    </row>
    <row r="228" spans="1:1" hidden="1" x14ac:dyDescent="0.25">
      <c r="A228" s="190"/>
    </row>
    <row r="229" spans="1:1" hidden="1" x14ac:dyDescent="0.25">
      <c r="A229" s="190"/>
    </row>
    <row r="230" spans="1:1" hidden="1" x14ac:dyDescent="0.25">
      <c r="A230" s="190"/>
    </row>
    <row r="231" spans="1:1" hidden="1" x14ac:dyDescent="0.25">
      <c r="A231" s="190"/>
    </row>
    <row r="232" spans="1:1" hidden="1" x14ac:dyDescent="0.25">
      <c r="A232" s="190"/>
    </row>
    <row r="233" spans="1:1" hidden="1" x14ac:dyDescent="0.25">
      <c r="A233" s="190"/>
    </row>
    <row r="234" spans="1:1" hidden="1" x14ac:dyDescent="0.25">
      <c r="A234" s="190"/>
    </row>
    <row r="235" spans="1:1" hidden="1" x14ac:dyDescent="0.25">
      <c r="A235" s="190"/>
    </row>
    <row r="236" spans="1:1" hidden="1" x14ac:dyDescent="0.25">
      <c r="A236" s="190"/>
    </row>
    <row r="237" spans="1:1" hidden="1" x14ac:dyDescent="0.25">
      <c r="A237" s="190"/>
    </row>
    <row r="238" spans="1:1" hidden="1" x14ac:dyDescent="0.25">
      <c r="A238" s="190"/>
    </row>
    <row r="239" spans="1:1" hidden="1" x14ac:dyDescent="0.25">
      <c r="A239" s="190"/>
    </row>
    <row r="240" spans="1:1" hidden="1" x14ac:dyDescent="0.25">
      <c r="A240" s="190"/>
    </row>
    <row r="241" spans="1:1" hidden="1" x14ac:dyDescent="0.25">
      <c r="A241" s="190"/>
    </row>
    <row r="242" spans="1:1" hidden="1" x14ac:dyDescent="0.25">
      <c r="A242" s="190"/>
    </row>
    <row r="243" spans="1:1" hidden="1" x14ac:dyDescent="0.25">
      <c r="A243" s="190"/>
    </row>
    <row r="244" spans="1:1" hidden="1" x14ac:dyDescent="0.25">
      <c r="A244" s="190"/>
    </row>
    <row r="245" spans="1:1" hidden="1" x14ac:dyDescent="0.25">
      <c r="A245" s="190"/>
    </row>
    <row r="246" spans="1:1" hidden="1" x14ac:dyDescent="0.25">
      <c r="A246" s="190"/>
    </row>
    <row r="247" spans="1:1" hidden="1" x14ac:dyDescent="0.25">
      <c r="A247" s="190"/>
    </row>
    <row r="248" spans="1:1" hidden="1" x14ac:dyDescent="0.25">
      <c r="A248" s="190"/>
    </row>
    <row r="249" spans="1:1" hidden="1" x14ac:dyDescent="0.25">
      <c r="A249" s="190"/>
    </row>
    <row r="250" spans="1:1" hidden="1" x14ac:dyDescent="0.25">
      <c r="A250" s="190"/>
    </row>
    <row r="251" spans="1:1" hidden="1" x14ac:dyDescent="0.25">
      <c r="A251" s="190"/>
    </row>
    <row r="252" spans="1:1" hidden="1" x14ac:dyDescent="0.25">
      <c r="A252" s="190"/>
    </row>
    <row r="253" spans="1:1" hidden="1" x14ac:dyDescent="0.25">
      <c r="A253" s="190"/>
    </row>
    <row r="254" spans="1:1" hidden="1" x14ac:dyDescent="0.25">
      <c r="A254" s="190"/>
    </row>
    <row r="255" spans="1:1" hidden="1" x14ac:dyDescent="0.25">
      <c r="A255" s="190"/>
    </row>
    <row r="256" spans="1:1" hidden="1" x14ac:dyDescent="0.25">
      <c r="A256" s="190"/>
    </row>
    <row r="257" spans="1:1" hidden="1" x14ac:dyDescent="0.25">
      <c r="A257" s="190"/>
    </row>
    <row r="258" spans="1:1" hidden="1" x14ac:dyDescent="0.25">
      <c r="A258" s="190"/>
    </row>
    <row r="259" spans="1:1" hidden="1" x14ac:dyDescent="0.25">
      <c r="A259" s="190"/>
    </row>
    <row r="260" spans="1:1" hidden="1" x14ac:dyDescent="0.25">
      <c r="A260" s="190"/>
    </row>
    <row r="261" spans="1:1" hidden="1" x14ac:dyDescent="0.25">
      <c r="A261" s="190"/>
    </row>
    <row r="262" spans="1:1" hidden="1" x14ac:dyDescent="0.25">
      <c r="A262" s="190"/>
    </row>
    <row r="263" spans="1:1" hidden="1" x14ac:dyDescent="0.25">
      <c r="A263" s="190"/>
    </row>
    <row r="264" spans="1:1" hidden="1" x14ac:dyDescent="0.25">
      <c r="A264" s="190"/>
    </row>
    <row r="265" spans="1:1" hidden="1" x14ac:dyDescent="0.25">
      <c r="A265" s="190"/>
    </row>
    <row r="266" spans="1:1" hidden="1" x14ac:dyDescent="0.25">
      <c r="A266" s="190"/>
    </row>
    <row r="267" spans="1:1" hidden="1" x14ac:dyDescent="0.25">
      <c r="A267" s="190"/>
    </row>
    <row r="268" spans="1:1" hidden="1" x14ac:dyDescent="0.25">
      <c r="A268" s="190"/>
    </row>
    <row r="269" spans="1:1" hidden="1" x14ac:dyDescent="0.25">
      <c r="A269" s="190"/>
    </row>
    <row r="270" spans="1:1" hidden="1" x14ac:dyDescent="0.25">
      <c r="A270" s="190"/>
    </row>
    <row r="271" spans="1:1" hidden="1" x14ac:dyDescent="0.25">
      <c r="A271" s="190"/>
    </row>
  </sheetData>
  <sheetProtection sheet="1" objects="1" scenarios="1"/>
  <mergeCells count="12">
    <mergeCell ref="A1:H1"/>
    <mergeCell ref="A2:A271"/>
    <mergeCell ref="B60:H60"/>
    <mergeCell ref="C66:E66"/>
    <mergeCell ref="F66:H66"/>
    <mergeCell ref="B64:H64"/>
    <mergeCell ref="B11:F11"/>
    <mergeCell ref="B3:D3"/>
    <mergeCell ref="B53:C53"/>
    <mergeCell ref="B59:C59"/>
    <mergeCell ref="B45:H45"/>
    <mergeCell ref="C65:H65"/>
  </mergeCells>
  <hyperlinks>
    <hyperlink ref="B94" r:id="rId1" display="Internet Link Here"/>
    <hyperlink ref="B42" location="Intro!B24" display="Link back to Intro"/>
    <hyperlink ref="B62" location="'2) Systems 3 &amp; 4'!B28" display="Link back to tab 2)"/>
    <hyperlink ref="C62" location="'3) Systems 5 - 8'!B17" display="Link back to Tab 3)"/>
    <hyperlink ref="C90" location="'2) Systems 3 &amp; 4'!B40" display="Link back to tab 2)"/>
    <hyperlink ref="D90" location="'3) Systems 5 - 8'!B27" display="Link back to tab 3)"/>
    <hyperlink ref="B90" location="'1) Systems 1 &amp; 2'!B39" display="Link back to tab 1)"/>
  </hyperlinks>
  <pageMargins left="0.7" right="0.7" top="0.75" bottom="0.75" header="0.3" footer="0.3"/>
  <pageSetup orientation="portrait" verticalDpi="0"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vt:lpstr>
      <vt:lpstr>1) Systems 1 &amp; 2</vt:lpstr>
      <vt:lpstr>2) Systems 3 &amp; 4</vt:lpstr>
      <vt:lpstr>3) Systems 5 - 8</vt:lpstr>
      <vt:lpstr>4) Proposed System</vt:lpstr>
      <vt:lpstr>Resources</vt:lpstr>
    </vt:vector>
  </TitlesOfParts>
  <Company>University of Idaho</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lhemley</dc:creator>
  <cp:lastModifiedBy>lhemley</cp:lastModifiedBy>
  <dcterms:created xsi:type="dcterms:W3CDTF">2011-11-16T19:15:30Z</dcterms:created>
  <dcterms:modified xsi:type="dcterms:W3CDTF">2013-06-12T23:44:07Z</dcterms:modified>
</cp:coreProperties>
</file>